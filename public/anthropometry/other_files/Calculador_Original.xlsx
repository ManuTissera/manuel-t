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03"/>
  <workbookPr showInkAnnotation="0" codeName="EsteLibro" autoCompressPictures="0"/>
  <mc:AlternateContent xmlns:mc="http://schemas.openxmlformats.org/markup-compatibility/2006">
    <mc:Choice Requires="x15">
      <x15ac:absPath xmlns:x15ac="http://schemas.microsoft.com/office/spreadsheetml/2010/11/ac" url="C:\Users\PC\OneDrive\Dev\Proyectos\CalcuPeso\"/>
    </mc:Choice>
  </mc:AlternateContent>
  <xr:revisionPtr revIDLastSave="1" documentId="11_C713743E1C55E58EDAD1E27D23B59ED95C778F05" xr6:coauthVersionLast="47" xr6:coauthVersionMax="47" xr10:uidLastSave="{BFD23FBE-9C33-4FBF-83E5-E3B96C79E96A}"/>
  <bookViews>
    <workbookView xWindow="0" yWindow="0" windowWidth="11490" windowHeight="4515" xr2:uid="{00000000-000D-0000-FFFF-FFFF00000000}"/>
  </bookViews>
  <sheets>
    <sheet name="HOJA DE TRABAJO" sheetId="1" r:id="rId1"/>
    <sheet name="INFORME IMPRIMIR" sheetId="5" r:id="rId2"/>
    <sheet name="CALCULO PESO IDEAL" sheetId="6" r:id="rId3"/>
  </sheets>
  <externalReferences>
    <externalReference r:id="rId4"/>
  </externalReferences>
  <definedNames>
    <definedName name="adiposo">'HOJA DE TRABAJO'!#REF!</definedName>
    <definedName name="adiposo_muscular">'HOJA DE TRABAJO'!#REF!</definedName>
    <definedName name="AF">'HOJA DE TRABAJO'!#REF!</definedName>
    <definedName name="_xlnm.Print_Area" localSheetId="0">'HOJA DE TRABAJO'!$A$1:$I$84</definedName>
    <definedName name="_xlnm.Print_Area" localSheetId="1">'INFORME IMPRIMIR'!$A$1:$K$88</definedName>
    <definedName name="arq">'[1]Proc datos brutos'!$AH$3:$AJ$48</definedName>
    <definedName name="defcen">'[1]Proc datos brutos'!$AK$3:$AM$48</definedName>
    <definedName name="deflat">'[1]Proc datos brutos'!$AN$3:$AP$48</definedName>
    <definedName name="delcen">'[1]Proc datos brutos'!$AZ$3:$BB$48</definedName>
    <definedName name="dellat">'[1]Proc datos brutos'!$AW$3:$AY$48</definedName>
    <definedName name="depf">'HOJA DE TRABAJO'!#REF!</definedName>
    <definedName name="depm">'HOJA DE TRABAJO'!#REF!</definedName>
    <definedName name="deps">'HOJA DE TRABAJO'!#REF!</definedName>
    <definedName name="HTML_CodePage" hidden="1">1252</definedName>
    <definedName name="HTML_Control" hidden="1">{"'Proc datos brutos'!$A$2:$M$53"}</definedName>
    <definedName name="HTML_Description" hidden="1">""</definedName>
    <definedName name="HTML_Email" hidden="1">""</definedName>
    <definedName name="HTML_Header" hidden="1">"Proc datos brutos"</definedName>
    <definedName name="HTML_LastUpdate" hidden="1">"17/01/2000"</definedName>
    <definedName name="HTML_LineAfter" hidden="1">FALSE</definedName>
    <definedName name="HTML_LineBefore" hidden="1">FALSE</definedName>
    <definedName name="HTML_Name" hidden="1">"Francis Holway"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"proc datos brutos definitivo nuevo"</definedName>
    <definedName name="meddef">'[1]Proc datos brutos'!$AQ$3:$AS$48</definedName>
    <definedName name="medof">'[1]Proc datos brutos'!$AT$3:$AV$48</definedName>
    <definedName name="muscular">'HOJA DE TRABAJO'!#REF!</definedName>
    <definedName name="muscular_osea">'HOJA DE TRABAJO'!#REF!</definedName>
    <definedName name="posiciones">'[1]Proc datos brutos'!$BD$2:$BF$8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" i="1" l="1"/>
  <c r="G7" i="1"/>
  <c r="B36" i="1"/>
  <c r="B35" i="1"/>
  <c r="E7" i="6"/>
  <c r="B44" i="1"/>
  <c r="C44" i="1"/>
  <c r="B40" i="1"/>
  <c r="B41" i="1"/>
  <c r="C41" i="1"/>
  <c r="C42" i="1"/>
  <c r="E2" i="6"/>
  <c r="B47" i="1"/>
  <c r="B46" i="1"/>
  <c r="E40" i="5"/>
  <c r="I50" i="5"/>
  <c r="I51" i="5"/>
  <c r="I53" i="5"/>
  <c r="G18" i="1"/>
  <c r="E19" i="5"/>
  <c r="G19" i="1"/>
  <c r="E20" i="5"/>
  <c r="G22" i="1"/>
  <c r="E23" i="5"/>
  <c r="C51" i="5"/>
  <c r="G9" i="1"/>
  <c r="E12" i="5"/>
  <c r="G10" i="1"/>
  <c r="E13" i="5"/>
  <c r="G13" i="1"/>
  <c r="E15" i="5"/>
  <c r="G16" i="1"/>
  <c r="E18" i="5"/>
  <c r="G25" i="1"/>
  <c r="E26" i="5"/>
  <c r="G23" i="1"/>
  <c r="E24" i="5"/>
  <c r="G24" i="1"/>
  <c r="E25" i="5"/>
  <c r="G14" i="1"/>
  <c r="E16" i="5"/>
  <c r="G15" i="1"/>
  <c r="E17" i="5"/>
  <c r="E30" i="5" s="1"/>
  <c r="E29" i="5"/>
  <c r="G12" i="1"/>
  <c r="E14" i="5"/>
  <c r="G21" i="1"/>
  <c r="E22" i="5"/>
  <c r="G20" i="1"/>
  <c r="E21" i="5"/>
  <c r="H48" i="5"/>
  <c r="H5" i="5"/>
  <c r="A89" i="5"/>
  <c r="E48" i="5"/>
  <c r="D46" i="5"/>
  <c r="D3" i="5"/>
  <c r="I3" i="5"/>
  <c r="I46" i="5"/>
  <c r="B31" i="1"/>
  <c r="B30" i="1"/>
  <c r="C50" i="5"/>
  <c r="C52" i="5"/>
  <c r="C53" i="5"/>
  <c r="D79" i="5"/>
  <c r="E31" i="5"/>
  <c r="F51" i="5"/>
  <c r="F50" i="5"/>
  <c r="F53" i="5"/>
  <c r="B33" i="1"/>
  <c r="D41" i="1"/>
  <c r="D42" i="1"/>
  <c r="E32" i="5" s="1"/>
  <c r="D44" i="1"/>
  <c r="E36" i="5" s="1"/>
  <c r="F79" i="5"/>
  <c r="E79" i="5"/>
  <c r="K79" i="5"/>
  <c r="K78" i="5"/>
  <c r="E8" i="6" l="1"/>
  <c r="E37" i="5"/>
  <c r="E3" i="6"/>
  <c r="E33" i="5"/>
  <c r="E4" i="6" s="1"/>
  <c r="E34" i="5"/>
  <c r="E5" i="6" s="1"/>
  <c r="E38" i="5" l="1"/>
  <c r="E10" i="6" s="1"/>
  <c r="E9" i="6"/>
  <c r="G5" i="6"/>
  <c r="G2" i="6"/>
  <c r="G4" i="6" s="1"/>
  <c r="H4" i="6" s="1"/>
  <c r="G10" i="6" l="1"/>
  <c r="G7" i="6"/>
  <c r="G9" i="6" s="1"/>
  <c r="H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Holway</author>
  </authors>
  <commentList>
    <comment ref="I2" authorId="0" shapeId="0" xr:uid="{00000000-0006-0000-0000-000001000000}">
      <text>
        <r>
          <rPr>
            <b/>
            <sz val="10"/>
            <color indexed="81"/>
            <rFont val="Comic Sans MS"/>
            <family val="4"/>
          </rPr>
          <t>No olvidarse del número según el sexo.</t>
        </r>
      </text>
    </comment>
  </commentList>
</comments>
</file>

<file path=xl/sharedStrings.xml><?xml version="1.0" encoding="utf-8"?>
<sst xmlns="http://schemas.openxmlformats.org/spreadsheetml/2006/main" count="164" uniqueCount="129">
  <si>
    <t>Nombre:</t>
  </si>
  <si>
    <t>Leandro Ceballos</t>
  </si>
  <si>
    <t>Sexo (m=1;f=2):</t>
  </si>
  <si>
    <t>Fecha:</t>
  </si>
  <si>
    <t>Fecha de Nac.</t>
  </si>
  <si>
    <t>21/10/1893</t>
  </si>
  <si>
    <t>Edad decimal:</t>
  </si>
  <si>
    <t>Variable</t>
  </si>
  <si>
    <t>serie 1</t>
  </si>
  <si>
    <t>serie 2</t>
  </si>
  <si>
    <t>serie 3</t>
  </si>
  <si>
    <t>serie 4</t>
  </si>
  <si>
    <t>serie 5</t>
  </si>
  <si>
    <t>mediana</t>
  </si>
  <si>
    <t>DATOS BÁSICOS</t>
  </si>
  <si>
    <t>Peso Bruto (Kg)</t>
  </si>
  <si>
    <t>Talla Corporal (cm)</t>
  </si>
  <si>
    <t>DIÁMETROS (cm)</t>
  </si>
  <si>
    <t>Humeral (biepicondilar)</t>
  </si>
  <si>
    <t>Femoral (biepicondilar)</t>
  </si>
  <si>
    <t>PERÍMETROS (cm)</t>
  </si>
  <si>
    <t>Brazo Relajado</t>
  </si>
  <si>
    <t>Brazo Flexionado en Tensión</t>
  </si>
  <si>
    <t>Cintura (mínima)</t>
  </si>
  <si>
    <t>Cadera (máximo)</t>
  </si>
  <si>
    <t>Pantorrilla (máxima)</t>
  </si>
  <si>
    <t>PLIEGUES CUTÁNEOS (mm)</t>
  </si>
  <si>
    <t xml:space="preserve">Tríceps </t>
  </si>
  <si>
    <t xml:space="preserve">Subescapular </t>
  </si>
  <si>
    <t>Bíceps</t>
  </si>
  <si>
    <t>Cresta ilíaca</t>
  </si>
  <si>
    <t>Supraespinal</t>
  </si>
  <si>
    <t>Abdominal</t>
  </si>
  <si>
    <t>Muslo Medial</t>
  </si>
  <si>
    <t>NO IMPRIMIR ESTA HOJA</t>
  </si>
  <si>
    <t>Somatotipo de Heath &amp; Carter (1990)</t>
  </si>
  <si>
    <t>Endomorphy</t>
  </si>
  <si>
    <t>Sum SF</t>
  </si>
  <si>
    <t>Mesomorphy</t>
  </si>
  <si>
    <t>Ectomorphy</t>
  </si>
  <si>
    <t>HWR</t>
  </si>
  <si>
    <t>comp corporal</t>
  </si>
  <si>
    <t>densidad</t>
  </si>
  <si>
    <t>D&amp;W</t>
  </si>
  <si>
    <t>masc</t>
  </si>
  <si>
    <t>fem</t>
  </si>
  <si>
    <t>suma 4p</t>
  </si>
  <si>
    <t>log suma 4p</t>
  </si>
  <si>
    <t>%graso</t>
  </si>
  <si>
    <t>Yuhasz</t>
  </si>
  <si>
    <t>suma 6 p</t>
  </si>
  <si>
    <t>AMB</t>
  </si>
  <si>
    <t>Informe de
Composición Corporal Nivel 1</t>
  </si>
  <si>
    <r>
      <t>Lic. Sonia Polidori</t>
    </r>
    <r>
      <rPr>
        <sz val="9"/>
        <rFont val="Arial"/>
      </rPr>
      <t xml:space="preserve">
</t>
    </r>
    <r>
      <rPr>
        <sz val="8"/>
        <rFont val="Arial"/>
      </rPr>
      <t>NUTRICION DEPORTIVA</t>
    </r>
    <r>
      <rPr>
        <sz val="9"/>
        <rFont val="Arial"/>
      </rPr>
      <t xml:space="preserve">
Teléfono: 3514598393
E-mail: sonipoli@hotmail.com</t>
    </r>
  </si>
  <si>
    <t>Edad:</t>
  </si>
  <si>
    <t>Número de medición:</t>
  </si>
  <si>
    <t>Fecha de medición:</t>
  </si>
  <si>
    <t>Resultados</t>
  </si>
  <si>
    <t>Valor Ajustado</t>
  </si>
  <si>
    <t>EJES</t>
  </si>
  <si>
    <t>Peso (kg)</t>
  </si>
  <si>
    <t>Talla (cm)</t>
  </si>
  <si>
    <t>Caderas (máxima)</t>
  </si>
  <si>
    <t>Tríceps</t>
  </si>
  <si>
    <t>Subescapular</t>
  </si>
  <si>
    <t>Cresta Ilíaca</t>
  </si>
  <si>
    <t>Muslo (medial)</t>
  </si>
  <si>
    <t>Pantorrilla</t>
  </si>
  <si>
    <t>Índices y composición corporal (Durnin &amp; Womersley)</t>
  </si>
  <si>
    <t>IMC</t>
  </si>
  <si>
    <r>
      <t>kg/m</t>
    </r>
    <r>
      <rPr>
        <vertAlign val="superscript"/>
        <sz val="10"/>
        <rFont val="Arial"/>
      </rPr>
      <t>-2</t>
    </r>
  </si>
  <si>
    <t>IndCint/Cad</t>
  </si>
  <si>
    <t>Suma 6 pl</t>
  </si>
  <si>
    <t>mm</t>
  </si>
  <si>
    <t>% graso</t>
  </si>
  <si>
    <t>Durnin &amp; W</t>
  </si>
  <si>
    <t>Grasa</t>
  </si>
  <si>
    <t>kg</t>
  </si>
  <si>
    <t>Magra</t>
  </si>
  <si>
    <t>Yuhasz (atletas)</t>
  </si>
  <si>
    <r>
      <t>Area Musc Brazo mm</t>
    </r>
    <r>
      <rPr>
        <b/>
        <vertAlign val="superscript"/>
        <sz val="10"/>
        <rFont val="Arial"/>
      </rPr>
      <t>2</t>
    </r>
  </si>
  <si>
    <r>
      <t xml:space="preserve">Somatotipo de Heath &amp; Carter
</t>
    </r>
    <r>
      <rPr>
        <b/>
        <sz val="16"/>
        <rFont val="Arial"/>
      </rPr>
      <t>(1990)</t>
    </r>
  </si>
  <si>
    <r>
      <t>Francis Holway</t>
    </r>
    <r>
      <rPr>
        <sz val="9"/>
        <rFont val="Arial"/>
      </rPr>
      <t xml:space="preserve">
</t>
    </r>
    <r>
      <rPr>
        <sz val="8"/>
        <rFont val="Arial"/>
      </rPr>
      <t>NUTRICION DEPORTIVA</t>
    </r>
    <r>
      <rPr>
        <sz val="9"/>
        <rFont val="Arial"/>
      </rPr>
      <t xml:space="preserve">
Teléfono: 4822-9436
E-mail: fholway@hotmail.com</t>
    </r>
  </si>
  <si>
    <t>Sumatoria de pliegues:</t>
  </si>
  <si>
    <t>per.correg. brazo:</t>
  </si>
  <si>
    <t>raíz cúbica del peso:</t>
  </si>
  <si>
    <t>170,18 / altura en cm:</t>
  </si>
  <si>
    <t>per.correg. pantorrilla:</t>
  </si>
  <si>
    <t>HWR:</t>
  </si>
  <si>
    <t>Sumatoria SF (sum.SF):</t>
  </si>
  <si>
    <t>Endomorfo</t>
  </si>
  <si>
    <t>Mesomorfo</t>
  </si>
  <si>
    <t>Ectomorfo</t>
  </si>
  <si>
    <t>SOMATOCARTA</t>
  </si>
  <si>
    <t>RATING DE SOMATOTIPO</t>
  </si>
  <si>
    <t>ENDO</t>
  </si>
  <si>
    <t>MESO</t>
  </si>
  <si>
    <t>ECTO</t>
  </si>
  <si>
    <t>X (ecto-endo):</t>
  </si>
  <si>
    <t>(Posicionamiento actual)</t>
  </si>
  <si>
    <t>Y (2*meso-(ecto+endo)):</t>
  </si>
  <si>
    <t>sexo:</t>
  </si>
  <si>
    <t>x:</t>
  </si>
  <si>
    <t>y:</t>
  </si>
  <si>
    <r>
      <t>1     1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 xml:space="preserve"> 2     2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</si>
  <si>
    <r>
      <t>3    3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</t>
    </r>
    <r>
      <rPr>
        <b/>
        <sz val="9"/>
        <rFont val="Arial"/>
      </rPr>
      <t xml:space="preserve"> 4    4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>5</t>
    </r>
  </si>
  <si>
    <r>
      <t>5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</t>
    </r>
    <r>
      <rPr>
        <b/>
        <sz val="9"/>
        <rFont val="Arial"/>
      </rPr>
      <t xml:space="preserve"> 6     6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 xml:space="preserve">2     </t>
    </r>
    <r>
      <rPr>
        <b/>
        <sz val="9"/>
        <rFont val="Arial"/>
      </rPr>
      <t>7</t>
    </r>
  </si>
  <si>
    <r>
      <t>7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  <r>
      <rPr>
        <b/>
        <sz val="9"/>
        <rFont val="Arial"/>
      </rPr>
      <t xml:space="preserve">        8        8</t>
    </r>
    <r>
      <rPr>
        <b/>
        <vertAlign val="superscript"/>
        <sz val="9"/>
        <rFont val="Arial"/>
      </rPr>
      <t>1</t>
    </r>
    <r>
      <rPr>
        <b/>
        <sz val="9"/>
        <rFont val="Arial"/>
      </rPr>
      <t>/</t>
    </r>
    <r>
      <rPr>
        <b/>
        <vertAlign val="subscript"/>
        <sz val="9"/>
        <rFont val="Arial"/>
      </rPr>
      <t>2</t>
    </r>
  </si>
  <si>
    <t>ESCALA DE RATING Y CARACTERÍSTICAS
(Carter y Heath, 1990)</t>
  </si>
  <si>
    <t>Baja adiposidad relativa; poca grasa subcutánea; contornos musculares y óseos visibles.</t>
  </si>
  <si>
    <t>Moderada adiposidad relativa; la grasa subcutánea cubre los contornos musculares y óseos; apariencia más blanda.</t>
  </si>
  <si>
    <t>Alta adiposidad relativa; grasa subcutánea abundante; redondez en tronco y extremidades; mayor acumulación de grasa en el abdomen.</t>
  </si>
  <si>
    <t>Extremadamente alta adiposidad relativa; muy abundante grasa subcutánea y grandes cantidades de grasa abdomin.en el tronco; concentración proximal de grasa en extremidades.</t>
  </si>
  <si>
    <t>ENDOMORFIA
Adiposidad
Relativa</t>
  </si>
  <si>
    <t>Bajo desarrollo mús-esquelético relativo; diámetros óseos estrechos; diámetros musculares estrechos; pequeñas articulaciones en las extremidades.</t>
  </si>
  <si>
    <t>Moderado desarrollo músc-esquelético relativo; mayor volúmen muscular y huesos y articulaciones de mayores dimensiones.</t>
  </si>
  <si>
    <t>Alto desarrollo músc-esquelético relativo; diámetros óseos grandes; músculos de gran volumen; articulaciones grandes.</t>
  </si>
  <si>
    <t>Desarrollo músculoésquelético relativo extremadamente alto; músculos muy voluminosos; esqueleto y articulaciones muy grandes.</t>
  </si>
  <si>
    <t>MESOMORFIA
Robustez
Músculo-Esquelética</t>
  </si>
  <si>
    <t>Gran volumen por unidad de altura; extremidades relativamente voluminosas.</t>
  </si>
  <si>
    <t>Linearidad relativa moderada; menos volumen por unidad de altura; más estirado.</t>
  </si>
  <si>
    <t>Linearidad relativa elevada; poco volumen por unidad de altura.</t>
  </si>
  <si>
    <t>Linearidad relativa extremadamente alta; muy estirado; volumen mínimo por unidad de altura.</t>
  </si>
  <si>
    <t>ECTOMORFIA
Linearidad
Relativa</t>
  </si>
  <si>
    <t>Objetivo % graso</t>
  </si>
  <si>
    <t>Peso y composición ideal</t>
  </si>
  <si>
    <t>Cantidad de grasa a bajar Kg</t>
  </si>
  <si>
    <t xml:space="preserve">Peso 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</si>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</sst>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8">
    <font>
      <sz val="10"/>
      <name val="Arial"/>
    </font>
    <font>
      <sz val="10"/>
      <name val="Arial"/>
    </font>
    <font>
      <b/>
      <sz val="10"/>
      <color indexed="81"/>
      <name val="Comic Sans MS"/>
      <family val="4"/>
    </font>
    <font>
      <b/>
      <sz val="10"/>
      <name val="Arial"/>
      <family val="2"/>
    </font>
    <font>
      <sz val="10"/>
      <color indexed="9"/>
      <name val="Arial"/>
      <family val="2"/>
    </font>
    <font>
      <b/>
      <sz val="9"/>
      <color indexed="16"/>
      <name val="Arial"/>
      <family val="2"/>
    </font>
    <font>
      <sz val="10"/>
      <color indexed="18"/>
      <name val="Arial"/>
    </font>
    <font>
      <b/>
      <sz val="10"/>
      <color indexed="23"/>
      <name val="Arial"/>
    </font>
    <font>
      <sz val="10"/>
      <color indexed="16"/>
      <name val="Arial"/>
    </font>
    <font>
      <sz val="10"/>
      <name val="Arial"/>
    </font>
    <font>
      <sz val="10"/>
      <color indexed="53"/>
      <name val="Arial"/>
      <family val="2"/>
    </font>
    <font>
      <sz val="10"/>
      <color indexed="48"/>
      <name val="Arial"/>
      <family val="2"/>
    </font>
    <font>
      <sz val="10"/>
      <color indexed="57"/>
      <name val="Arial"/>
      <family val="2"/>
    </font>
    <font>
      <b/>
      <sz val="10"/>
      <color indexed="9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1"/>
      <name val="Arial"/>
    </font>
    <font>
      <vertAlign val="superscript"/>
      <sz val="10"/>
      <name val="Arial"/>
    </font>
    <font>
      <b/>
      <sz val="18"/>
      <name val="Arial"/>
    </font>
    <font>
      <b/>
      <sz val="11"/>
      <name val="Arial"/>
    </font>
    <font>
      <sz val="9"/>
      <name val="Arial"/>
    </font>
    <font>
      <b/>
      <sz val="12"/>
      <name val="Arial"/>
    </font>
    <font>
      <sz val="11"/>
      <name val="Arial"/>
    </font>
    <font>
      <b/>
      <i/>
      <sz val="10"/>
      <color indexed="9"/>
      <name val="Arial"/>
    </font>
    <font>
      <b/>
      <i/>
      <sz val="10"/>
      <color indexed="23"/>
      <name val="Arial"/>
    </font>
    <font>
      <b/>
      <sz val="9"/>
      <color indexed="18"/>
      <name val="Arial"/>
    </font>
    <font>
      <sz val="11"/>
      <color indexed="18"/>
      <name val="Arial"/>
    </font>
    <font>
      <i/>
      <sz val="11"/>
      <color indexed="18"/>
      <name val="Arial"/>
    </font>
    <font>
      <sz val="11"/>
      <color indexed="16"/>
      <name val="Arial"/>
    </font>
    <font>
      <i/>
      <sz val="11"/>
      <color indexed="16"/>
      <name val="Arial"/>
    </font>
    <font>
      <b/>
      <sz val="9"/>
      <color indexed="20"/>
      <name val="Arial"/>
    </font>
    <font>
      <b/>
      <sz val="9"/>
      <color indexed="54"/>
      <name val="Arial"/>
    </font>
    <font>
      <b/>
      <sz val="10"/>
      <color indexed="17"/>
      <name val="Arial"/>
    </font>
    <font>
      <sz val="10"/>
      <color indexed="17"/>
      <name val="Arial"/>
    </font>
    <font>
      <b/>
      <sz val="16"/>
      <name val="Arial"/>
    </font>
    <font>
      <sz val="10"/>
      <color indexed="12"/>
      <name val="Arial"/>
    </font>
    <font>
      <b/>
      <sz val="11"/>
      <color indexed="53"/>
      <name val="Arial"/>
    </font>
    <font>
      <b/>
      <sz val="11"/>
      <color indexed="12"/>
      <name val="Arial"/>
    </font>
    <font>
      <b/>
      <sz val="11"/>
      <color indexed="17"/>
      <name val="Arial"/>
    </font>
    <font>
      <b/>
      <i/>
      <sz val="10"/>
      <name val="Arial"/>
    </font>
    <font>
      <b/>
      <sz val="9"/>
      <name val="Arial"/>
    </font>
    <font>
      <b/>
      <vertAlign val="superscript"/>
      <sz val="9"/>
      <name val="Arial"/>
    </font>
    <font>
      <b/>
      <vertAlign val="subscript"/>
      <sz val="9"/>
      <name val="Arial"/>
    </font>
    <font>
      <i/>
      <sz val="11"/>
      <name val="Arial"/>
    </font>
    <font>
      <b/>
      <vertAlign val="superscript"/>
      <sz val="1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2">
    <xf numFmtId="0" fontId="0" fillId="0" borderId="0" xfId="0"/>
    <xf numFmtId="0" fontId="4" fillId="0" borderId="0" xfId="0" applyFont="1"/>
    <xf numFmtId="0" fontId="4" fillId="0" borderId="0" xfId="0" applyFont="1" applyProtection="1">
      <protection hidden="1"/>
    </xf>
    <xf numFmtId="0" fontId="10" fillId="0" borderId="5" xfId="0" applyFont="1" applyBorder="1" applyProtection="1">
      <protection hidden="1"/>
    </xf>
    <xf numFmtId="0" fontId="10" fillId="0" borderId="0" xfId="0" applyFont="1" applyProtection="1">
      <protection hidden="1"/>
    </xf>
    <xf numFmtId="164" fontId="10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2" fontId="12" fillId="0" borderId="0" xfId="0" applyNumberFormat="1" applyFont="1" applyProtection="1">
      <protection hidden="1"/>
    </xf>
    <xf numFmtId="0" fontId="4" fillId="0" borderId="3" xfId="0" applyFont="1" applyBorder="1" applyProtection="1">
      <protection hidden="1"/>
    </xf>
    <xf numFmtId="165" fontId="4" fillId="0" borderId="3" xfId="0" applyNumberFormat="1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7" xfId="0" applyFont="1" applyBorder="1" applyProtection="1">
      <protection hidden="1"/>
    </xf>
    <xf numFmtId="165" fontId="13" fillId="0" borderId="1" xfId="0" applyNumberFormat="1" applyFont="1" applyBorder="1" applyAlignment="1" applyProtection="1">
      <alignment horizontal="right"/>
      <protection locked="0" hidden="1"/>
    </xf>
    <xf numFmtId="2" fontId="13" fillId="0" borderId="7" xfId="0" applyNumberFormat="1" applyFont="1" applyBorder="1" applyAlignment="1" applyProtection="1">
      <alignment horizontal="left"/>
      <protection locked="0" hidden="1"/>
    </xf>
    <xf numFmtId="0" fontId="4" fillId="0" borderId="4" xfId="0" applyFont="1" applyBorder="1" applyAlignment="1" applyProtection="1">
      <alignment horizontal="right"/>
      <protection locked="0" hidden="1"/>
    </xf>
    <xf numFmtId="2" fontId="4" fillId="0" borderId="6" xfId="0" applyNumberFormat="1" applyFont="1" applyBorder="1" applyAlignment="1" applyProtection="1">
      <alignment horizontal="left"/>
      <protection locked="0" hidden="1"/>
    </xf>
    <xf numFmtId="0" fontId="13" fillId="0" borderId="0" xfId="0" applyFont="1" applyAlignment="1" applyProtection="1">
      <alignment horizontal="left"/>
      <protection locked="0" hidden="1"/>
    </xf>
    <xf numFmtId="2" fontId="13" fillId="0" borderId="3" xfId="0" applyNumberFormat="1" applyFont="1" applyBorder="1" applyAlignment="1" applyProtection="1">
      <alignment horizontal="left"/>
      <protection locked="0" hidden="1"/>
    </xf>
    <xf numFmtId="0" fontId="6" fillId="0" borderId="54" xfId="0" applyFont="1" applyBorder="1" applyAlignment="1" applyProtection="1">
      <alignment horizontal="center" vertical="center" textRotation="90" wrapText="1"/>
      <protection hidden="1"/>
    </xf>
    <xf numFmtId="0" fontId="6" fillId="0" borderId="29" xfId="0" applyFont="1" applyBorder="1" applyAlignment="1" applyProtection="1">
      <alignment horizontal="center" vertical="center" textRotation="90" wrapText="1"/>
      <protection hidden="1"/>
    </xf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0" fillId="0" borderId="3" xfId="0" applyBorder="1" applyProtection="1">
      <protection hidden="1"/>
    </xf>
    <xf numFmtId="0" fontId="21" fillId="0" borderId="2" xfId="0" applyFont="1" applyBorder="1" applyAlignment="1" applyProtection="1">
      <alignment horizontal="right" vertical="center"/>
      <protection hidden="1"/>
    </xf>
    <xf numFmtId="165" fontId="21" fillId="0" borderId="26" xfId="0" applyNumberFormat="1" applyFont="1" applyBorder="1" applyAlignment="1" applyProtection="1">
      <alignment horizontal="left"/>
      <protection hidden="1"/>
    </xf>
    <xf numFmtId="0" fontId="22" fillId="0" borderId="26" xfId="0" applyFont="1" applyBorder="1" applyAlignment="1" applyProtection="1">
      <alignment horizontal="left"/>
      <protection hidden="1"/>
    </xf>
    <xf numFmtId="0" fontId="0" fillId="0" borderId="27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Alignment="1" applyProtection="1">
      <alignment horizontal="center" wrapText="1"/>
      <protection hidden="1"/>
    </xf>
    <xf numFmtId="164" fontId="23" fillId="0" borderId="1" xfId="0" applyNumberFormat="1" applyFont="1" applyBorder="1" applyAlignment="1" applyProtection="1">
      <alignment horizontal="center" wrapText="1"/>
      <protection hidden="1"/>
    </xf>
    <xf numFmtId="164" fontId="24" fillId="0" borderId="1" xfId="0" applyNumberFormat="1" applyFont="1" applyBorder="1" applyAlignment="1" applyProtection="1">
      <alignment horizontal="center" wrapText="1"/>
      <protection hidden="1"/>
    </xf>
    <xf numFmtId="0" fontId="7" fillId="0" borderId="7" xfId="0" applyFont="1" applyBorder="1" applyAlignment="1" applyProtection="1">
      <alignment horizontal="center" wrapText="1"/>
      <protection hidden="1"/>
    </xf>
    <xf numFmtId="0" fontId="7" fillId="0" borderId="0" xfId="0" applyFont="1" applyAlignment="1" applyProtection="1">
      <alignment horizontal="center" wrapText="1"/>
      <protection hidden="1"/>
    </xf>
    <xf numFmtId="164" fontId="23" fillId="0" borderId="0" xfId="0" applyNumberFormat="1" applyFont="1" applyAlignment="1" applyProtection="1">
      <alignment horizontal="center" wrapText="1"/>
      <protection hidden="1"/>
    </xf>
    <xf numFmtId="164" fontId="24" fillId="0" borderId="0" xfId="0" applyNumberFormat="1" applyFont="1" applyAlignment="1" applyProtection="1">
      <alignment horizontal="center" wrapText="1"/>
      <protection hidden="1"/>
    </xf>
    <xf numFmtId="0" fontId="7" fillId="0" borderId="3" xfId="0" applyFont="1" applyBorder="1" applyAlignment="1" applyProtection="1">
      <alignment horizontal="center" wrapText="1"/>
      <protection hidden="1"/>
    </xf>
    <xf numFmtId="0" fontId="25" fillId="0" borderId="57" xfId="0" applyFont="1" applyBorder="1" applyAlignment="1" applyProtection="1">
      <alignment horizontal="center" vertical="center" textRotation="90" wrapText="1"/>
      <protection hidden="1"/>
    </xf>
    <xf numFmtId="2" fontId="27" fillId="0" borderId="4" xfId="0" applyNumberFormat="1" applyFont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2" fontId="26" fillId="0" borderId="6" xfId="0" applyNumberFormat="1" applyFont="1" applyBorder="1" applyAlignment="1" applyProtection="1">
      <alignment vertical="center"/>
      <protection hidden="1"/>
    </xf>
    <xf numFmtId="0" fontId="25" fillId="0" borderId="54" xfId="0" applyFont="1" applyBorder="1" applyAlignment="1" applyProtection="1">
      <alignment horizontal="center" vertical="center" textRotation="90" wrapText="1"/>
      <protection hidden="1"/>
    </xf>
    <xf numFmtId="2" fontId="27" fillId="0" borderId="0" xfId="0" applyNumberFormat="1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2" fontId="26" fillId="0" borderId="3" xfId="0" applyNumberFormat="1" applyFont="1" applyBorder="1" applyAlignment="1" applyProtection="1">
      <alignment vertical="center"/>
      <protection hidden="1"/>
    </xf>
    <xf numFmtId="0" fontId="5" fillId="0" borderId="57" xfId="0" applyFont="1" applyBorder="1" applyAlignment="1" applyProtection="1">
      <alignment horizontal="center" vertical="center" textRotation="90" wrapText="1"/>
      <protection hidden="1"/>
    </xf>
    <xf numFmtId="2" fontId="29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2" fontId="28" fillId="0" borderId="3" xfId="0" applyNumberFormat="1" applyFont="1" applyBorder="1" applyAlignment="1" applyProtection="1">
      <alignment vertical="center"/>
      <protection hidden="1"/>
    </xf>
    <xf numFmtId="0" fontId="0" fillId="0" borderId="29" xfId="0" applyBorder="1" applyAlignment="1" applyProtection="1">
      <alignment horizontal="center" vertical="center" textRotation="90" wrapText="1"/>
      <protection hidden="1"/>
    </xf>
    <xf numFmtId="2" fontId="29" fillId="0" borderId="1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2" fontId="28" fillId="0" borderId="7" xfId="0" applyNumberFormat="1" applyFont="1" applyBorder="1" applyAlignment="1" applyProtection="1">
      <alignment vertical="center"/>
      <protection hidden="1"/>
    </xf>
    <xf numFmtId="2" fontId="27" fillId="0" borderId="1" xfId="0" applyNumberFormat="1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2" fontId="26" fillId="0" borderId="7" xfId="0" applyNumberFormat="1" applyFont="1" applyBorder="1" applyAlignment="1" applyProtection="1">
      <alignment vertical="center"/>
      <protection hidden="1"/>
    </xf>
    <xf numFmtId="2" fontId="29" fillId="0" borderId="4" xfId="0" applyNumberFormat="1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2" fontId="28" fillId="0" borderId="6" xfId="0" applyNumberFormat="1" applyFont="1" applyBorder="1" applyAlignment="1" applyProtection="1">
      <alignment vertical="center"/>
      <protection hidden="1"/>
    </xf>
    <xf numFmtId="0" fontId="0" fillId="0" borderId="54" xfId="0" applyBorder="1" applyAlignment="1" applyProtection="1">
      <alignment horizontal="center" vertical="center" textRotation="90" wrapText="1"/>
      <protection hidden="1"/>
    </xf>
    <xf numFmtId="0" fontId="32" fillId="0" borderId="2" xfId="0" applyFont="1" applyBorder="1" applyAlignment="1" applyProtection="1">
      <alignment horizontal="left" vertical="center" indent="1"/>
      <protection hidden="1"/>
    </xf>
    <xf numFmtId="0" fontId="0" fillId="0" borderId="30" xfId="0" applyBorder="1" applyProtection="1">
      <protection hidden="1"/>
    </xf>
    <xf numFmtId="10" fontId="0" fillId="0" borderId="30" xfId="0" applyNumberFormat="1" applyBorder="1" applyProtection="1">
      <protection hidden="1"/>
    </xf>
    <xf numFmtId="0" fontId="32" fillId="0" borderId="30" xfId="0" applyFont="1" applyBorder="1" applyAlignment="1" applyProtection="1">
      <alignment vertical="center"/>
      <protection hidden="1"/>
    </xf>
    <xf numFmtId="0" fontId="0" fillId="0" borderId="26" xfId="0" applyBorder="1" applyProtection="1">
      <protection hidden="1"/>
    </xf>
    <xf numFmtId="2" fontId="21" fillId="0" borderId="26" xfId="0" applyNumberFormat="1" applyFont="1" applyBorder="1" applyAlignment="1" applyProtection="1">
      <alignment horizontal="left"/>
      <protection hidden="1"/>
    </xf>
    <xf numFmtId="0" fontId="22" fillId="0" borderId="1" xfId="0" applyFont="1" applyBorder="1" applyAlignment="1" applyProtection="1">
      <alignment horizontal="right"/>
      <protection hidden="1"/>
    </xf>
    <xf numFmtId="0" fontId="22" fillId="0" borderId="1" xfId="0" applyFont="1" applyBorder="1" applyAlignment="1" applyProtection="1">
      <alignment horizontal="left"/>
      <protection hidden="1"/>
    </xf>
    <xf numFmtId="14" fontId="22" fillId="0" borderId="1" xfId="0" applyNumberFormat="1" applyFont="1" applyBorder="1" applyAlignment="1" applyProtection="1">
      <alignment horizontal="left"/>
      <protection hidden="1"/>
    </xf>
    <xf numFmtId="0" fontId="0" fillId="0" borderId="7" xfId="0" applyBorder="1" applyProtection="1">
      <protection hidden="1"/>
    </xf>
    <xf numFmtId="0" fontId="0" fillId="7" borderId="5" xfId="0" applyFill="1" applyBorder="1" applyProtection="1">
      <protection hidden="1"/>
    </xf>
    <xf numFmtId="0" fontId="0" fillId="7" borderId="0" xfId="0" applyFill="1" applyProtection="1">
      <protection hidden="1"/>
    </xf>
    <xf numFmtId="165" fontId="0" fillId="7" borderId="0" xfId="0" applyNumberFormat="1" applyFill="1" applyProtection="1">
      <protection hidden="1"/>
    </xf>
    <xf numFmtId="0" fontId="0" fillId="8" borderId="55" xfId="0" applyFill="1" applyBorder="1" applyProtection="1">
      <protection hidden="1"/>
    </xf>
    <xf numFmtId="0" fontId="0" fillId="8" borderId="0" xfId="0" applyFill="1" applyProtection="1">
      <protection hidden="1"/>
    </xf>
    <xf numFmtId="165" fontId="0" fillId="8" borderId="0" xfId="0" applyNumberFormat="1" applyFill="1" applyProtection="1">
      <protection hidden="1"/>
    </xf>
    <xf numFmtId="0" fontId="0" fillId="9" borderId="55" xfId="0" applyFill="1" applyBorder="1" applyProtection="1">
      <protection hidden="1"/>
    </xf>
    <xf numFmtId="0" fontId="0" fillId="9" borderId="0" xfId="0" applyFill="1" applyProtection="1">
      <protection hidden="1"/>
    </xf>
    <xf numFmtId="165" fontId="0" fillId="9" borderId="0" xfId="0" applyNumberFormat="1" applyFill="1" applyProtection="1"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3" fillId="0" borderId="5" xfId="0" applyFont="1" applyBorder="1" applyAlignment="1" applyProtection="1">
      <alignment horizontal="left" vertical="center" indent="2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10" fillId="0" borderId="27" xfId="0" applyFont="1" applyBorder="1" applyAlignment="1" applyProtection="1">
      <alignment horizontal="center" vertical="center"/>
      <protection hidden="1"/>
    </xf>
    <xf numFmtId="0" fontId="35" fillId="0" borderId="4" xfId="0" applyFont="1" applyBorder="1" applyAlignment="1" applyProtection="1">
      <alignment horizontal="center" vertical="center"/>
      <protection hidden="1"/>
    </xf>
    <xf numFmtId="0" fontId="33" fillId="0" borderId="4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locked="0" hidden="1"/>
    </xf>
    <xf numFmtId="165" fontId="36" fillId="0" borderId="5" xfId="0" applyNumberFormat="1" applyFont="1" applyBorder="1" applyAlignment="1" applyProtection="1">
      <alignment horizontal="center" vertical="center"/>
      <protection hidden="1"/>
    </xf>
    <xf numFmtId="165" fontId="37" fillId="0" borderId="0" xfId="0" applyNumberFormat="1" applyFont="1" applyAlignment="1" applyProtection="1">
      <alignment horizontal="center" vertical="center"/>
      <protection hidden="1"/>
    </xf>
    <xf numFmtId="165" fontId="38" fillId="0" borderId="0" xfId="0" applyNumberFormat="1" applyFont="1" applyAlignment="1" applyProtection="1">
      <alignment horizontal="center" vertical="center"/>
      <protection hidden="1"/>
    </xf>
    <xf numFmtId="0" fontId="0" fillId="0" borderId="0" xfId="0" applyProtection="1">
      <protection locked="0" hidden="1"/>
    </xf>
    <xf numFmtId="165" fontId="36" fillId="0" borderId="8" xfId="0" applyNumberFormat="1" applyFont="1" applyBorder="1" applyAlignment="1" applyProtection="1">
      <alignment horizontal="center" vertical="center"/>
      <protection locked="0" hidden="1"/>
    </xf>
    <xf numFmtId="165" fontId="37" fillId="0" borderId="1" xfId="0" applyNumberFormat="1" applyFont="1" applyBorder="1" applyAlignment="1" applyProtection="1">
      <alignment horizontal="center" vertical="center"/>
      <protection locked="0" hidden="1"/>
    </xf>
    <xf numFmtId="165" fontId="38" fillId="0" borderId="1" xfId="0" applyNumberFormat="1" applyFont="1" applyBorder="1" applyAlignment="1" applyProtection="1">
      <alignment horizontal="center" vertical="center"/>
      <protection locked="0" hidden="1"/>
    </xf>
    <xf numFmtId="0" fontId="0" fillId="0" borderId="1" xfId="0" applyBorder="1" applyProtection="1">
      <protection locked="0" hidden="1"/>
    </xf>
    <xf numFmtId="0" fontId="39" fillId="0" borderId="0" xfId="0" applyFont="1" applyProtection="1">
      <protection hidden="1"/>
    </xf>
    <xf numFmtId="0" fontId="10" fillId="0" borderId="0" xfId="0" applyFont="1" applyAlignment="1" applyProtection="1">
      <alignment horizont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33" fillId="0" borderId="0" xfId="0" applyFont="1" applyAlignment="1" applyProtection="1">
      <alignment horizontal="center"/>
      <protection hidden="1"/>
    </xf>
    <xf numFmtId="165" fontId="36" fillId="0" borderId="1" xfId="0" applyNumberFormat="1" applyFont="1" applyBorder="1" applyAlignment="1" applyProtection="1">
      <alignment horizontal="center" vertical="top"/>
      <protection hidden="1"/>
    </xf>
    <xf numFmtId="165" fontId="37" fillId="0" borderId="1" xfId="0" applyNumberFormat="1" applyFont="1" applyBorder="1" applyAlignment="1" applyProtection="1">
      <alignment horizontal="center" vertical="top"/>
      <protection hidden="1"/>
    </xf>
    <xf numFmtId="165" fontId="38" fillId="0" borderId="1" xfId="0" applyNumberFormat="1" applyFont="1" applyBorder="1" applyAlignment="1" applyProtection="1">
      <alignment horizontal="center" vertical="top"/>
      <protection hidden="1"/>
    </xf>
    <xf numFmtId="0" fontId="0" fillId="0" borderId="29" xfId="0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0" xfId="0" applyFont="1" applyProtection="1">
      <protection hidden="1"/>
    </xf>
    <xf numFmtId="0" fontId="14" fillId="5" borderId="28" xfId="0" applyFont="1" applyFill="1" applyBorder="1" applyAlignment="1" applyProtection="1">
      <alignment horizontal="center" vertical="center" wrapText="1"/>
      <protection hidden="1"/>
    </xf>
    <xf numFmtId="0" fontId="22" fillId="0" borderId="4" xfId="0" applyFont="1" applyBorder="1" applyAlignment="1" applyProtection="1">
      <alignment horizontal="left" vertical="center" indent="2"/>
      <protection hidden="1"/>
    </xf>
    <xf numFmtId="0" fontId="22" fillId="0" borderId="4" xfId="0" applyFont="1" applyBorder="1" applyAlignment="1" applyProtection="1">
      <alignment vertical="center"/>
      <protection hidden="1"/>
    </xf>
    <xf numFmtId="165" fontId="22" fillId="0" borderId="4" xfId="0" applyNumberFormat="1" applyFont="1" applyBorder="1" applyAlignment="1" applyProtection="1">
      <alignment vertical="center"/>
      <protection hidden="1"/>
    </xf>
    <xf numFmtId="2" fontId="43" fillId="0" borderId="4" xfId="0" applyNumberFormat="1" applyFont="1" applyBorder="1" applyAlignment="1" applyProtection="1">
      <alignment vertical="center"/>
      <protection hidden="1"/>
    </xf>
    <xf numFmtId="0" fontId="22" fillId="0" borderId="0" xfId="0" applyFont="1" applyAlignment="1" applyProtection="1">
      <alignment horizontal="left" vertical="center" indent="2"/>
      <protection hidden="1"/>
    </xf>
    <xf numFmtId="0" fontId="22" fillId="0" borderId="0" xfId="0" applyFont="1" applyAlignment="1" applyProtection="1">
      <alignment vertical="center"/>
      <protection hidden="1"/>
    </xf>
    <xf numFmtId="165" fontId="22" fillId="0" borderId="0" xfId="0" applyNumberFormat="1" applyFont="1" applyAlignment="1" applyProtection="1">
      <alignment vertical="center"/>
      <protection hidden="1"/>
    </xf>
    <xf numFmtId="2" fontId="43" fillId="0" borderId="0" xfId="0" applyNumberFormat="1" applyFont="1" applyAlignment="1" applyProtection="1">
      <alignment vertical="center"/>
      <protection hidden="1"/>
    </xf>
    <xf numFmtId="0" fontId="22" fillId="0" borderId="1" xfId="0" applyFont="1" applyBorder="1" applyAlignment="1" applyProtection="1">
      <alignment horizontal="left" vertical="center" indent="2"/>
      <protection hidden="1"/>
    </xf>
    <xf numFmtId="0" fontId="22" fillId="0" borderId="1" xfId="0" applyFont="1" applyBorder="1" applyAlignment="1" applyProtection="1">
      <alignment vertical="center"/>
      <protection hidden="1"/>
    </xf>
    <xf numFmtId="165" fontId="22" fillId="0" borderId="1" xfId="0" applyNumberFormat="1" applyFont="1" applyBorder="1" applyAlignment="1" applyProtection="1">
      <alignment vertical="center"/>
      <protection hidden="1"/>
    </xf>
    <xf numFmtId="2" fontId="43" fillId="0" borderId="1" xfId="0" applyNumberFormat="1" applyFont="1" applyBorder="1" applyAlignment="1" applyProtection="1">
      <alignment vertical="center"/>
      <protection hidden="1"/>
    </xf>
    <xf numFmtId="165" fontId="0" fillId="0" borderId="4" xfId="0" applyNumberFormat="1" applyBorder="1" applyAlignment="1" applyProtection="1">
      <alignment horizontal="right"/>
      <protection hidden="1"/>
    </xf>
    <xf numFmtId="165" fontId="0" fillId="0" borderId="0" xfId="0" applyNumberFormat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1" fontId="0" fillId="0" borderId="0" xfId="0" applyNumberFormat="1" applyAlignment="1" applyProtection="1">
      <alignment horizontal="right"/>
      <protection hidden="1"/>
    </xf>
    <xf numFmtId="0" fontId="0" fillId="10" borderId="28" xfId="0" applyFill="1" applyBorder="1"/>
    <xf numFmtId="0" fontId="3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0" fontId="3" fillId="0" borderId="4" xfId="0" applyFont="1" applyBorder="1"/>
    <xf numFmtId="0" fontId="0" fillId="0" borderId="4" xfId="0" applyBorder="1"/>
    <xf numFmtId="165" fontId="0" fillId="0" borderId="4" xfId="0" applyNumberFormat="1" applyBorder="1" applyAlignment="1">
      <alignment horizontal="center"/>
    </xf>
    <xf numFmtId="0" fontId="3" fillId="10" borderId="0" xfId="0" applyFont="1" applyFill="1"/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1" fillId="0" borderId="30" xfId="0" applyFont="1" applyBorder="1" applyAlignment="1" applyProtection="1">
      <alignment horizontal="left" vertical="center"/>
      <protection hidden="1"/>
    </xf>
    <xf numFmtId="0" fontId="21" fillId="0" borderId="26" xfId="0" applyFont="1" applyBorder="1" applyAlignment="1" applyProtection="1">
      <alignment horizontal="left" vertical="center"/>
      <protection hidden="1"/>
    </xf>
    <xf numFmtId="0" fontId="22" fillId="0" borderId="2" xfId="0" applyFont="1" applyBorder="1" applyAlignment="1" applyProtection="1">
      <alignment horizontal="right"/>
      <protection hidden="1"/>
    </xf>
    <xf numFmtId="0" fontId="22" fillId="0" borderId="30" xfId="0" applyFont="1" applyBorder="1" applyAlignment="1" applyProtection="1">
      <alignment horizontal="right"/>
      <protection hidden="1"/>
    </xf>
    <xf numFmtId="14" fontId="22" fillId="0" borderId="30" xfId="0" applyNumberFormat="1" applyFont="1" applyBorder="1" applyAlignment="1" applyProtection="1">
      <alignment horizontal="left"/>
      <protection hidden="1"/>
    </xf>
    <xf numFmtId="14" fontId="22" fillId="0" borderId="26" xfId="0" applyNumberFormat="1" applyFont="1" applyBorder="1" applyAlignment="1" applyProtection="1">
      <alignment horizontal="left"/>
      <protection hidden="1"/>
    </xf>
    <xf numFmtId="0" fontId="3" fillId="0" borderId="29" xfId="0" applyFont="1" applyBorder="1" applyAlignment="1" applyProtection="1">
      <alignment horizontal="center" vertical="center" textRotation="180" wrapText="1"/>
      <protection hidden="1"/>
    </xf>
    <xf numFmtId="0" fontId="3" fillId="0" borderId="28" xfId="0" applyFont="1" applyBorder="1" applyAlignment="1" applyProtection="1">
      <alignment horizontal="center" vertical="center" textRotation="180" wrapText="1"/>
      <protection hidden="1"/>
    </xf>
    <xf numFmtId="0" fontId="14" fillId="0" borderId="28" xfId="0" applyFont="1" applyBorder="1" applyAlignment="1" applyProtection="1">
      <alignment horizontal="center" vertical="center" wrapText="1"/>
      <protection hidden="1"/>
    </xf>
    <xf numFmtId="0" fontId="40" fillId="5" borderId="29" xfId="0" applyFont="1" applyFill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1" fillId="0" borderId="6" xfId="0" applyFont="1" applyBorder="1" applyAlignment="1" applyProtection="1">
      <alignment horizontal="right" vertical="center" textRotation="180" wrapText="1"/>
      <protection hidden="1"/>
    </xf>
    <xf numFmtId="0" fontId="31" fillId="0" borderId="3" xfId="0" applyFont="1" applyBorder="1" applyAlignment="1" applyProtection="1">
      <alignment horizontal="right" vertical="center" textRotation="180" wrapText="1"/>
      <protection hidden="1"/>
    </xf>
    <xf numFmtId="0" fontId="31" fillId="0" borderId="7" xfId="0" applyFont="1" applyBorder="1" applyAlignment="1" applyProtection="1">
      <alignment horizontal="right" vertical="center" textRotation="180" wrapText="1"/>
      <protection hidden="1"/>
    </xf>
    <xf numFmtId="10" fontId="32" fillId="0" borderId="30" xfId="1" applyNumberFormat="1" applyFont="1" applyBorder="1" applyAlignment="1" applyProtection="1">
      <alignment horizontal="center" vertical="center"/>
      <protection hidden="1"/>
    </xf>
    <xf numFmtId="0" fontId="30" fillId="0" borderId="27" xfId="0" applyFont="1" applyBorder="1" applyAlignment="1" applyProtection="1">
      <alignment horizontal="left" vertical="center" textRotation="90" wrapText="1"/>
      <protection hidden="1"/>
    </xf>
    <xf numFmtId="0" fontId="30" fillId="0" borderId="5" xfId="0" applyFont="1" applyBorder="1" applyAlignment="1" applyProtection="1">
      <alignment horizontal="left" vertical="center" textRotation="90" wrapText="1"/>
      <protection hidden="1"/>
    </xf>
    <xf numFmtId="0" fontId="30" fillId="0" borderId="8" xfId="0" applyFont="1" applyBorder="1" applyAlignment="1" applyProtection="1">
      <alignment horizontal="left" vertical="center" textRotation="90" wrapText="1"/>
      <protection hidden="1"/>
    </xf>
    <xf numFmtId="0" fontId="18" fillId="0" borderId="2" xfId="0" applyFont="1" applyBorder="1" applyAlignment="1" applyProtection="1">
      <alignment horizontal="center" vertical="center" wrapText="1"/>
      <protection hidden="1"/>
    </xf>
    <xf numFmtId="0" fontId="18" fillId="0" borderId="30" xfId="0" applyFont="1" applyBorder="1" applyAlignment="1" applyProtection="1">
      <alignment horizontal="center" vertical="center" wrapText="1"/>
      <protection hidden="1"/>
    </xf>
    <xf numFmtId="0" fontId="18" fillId="0" borderId="26" xfId="0" applyFont="1" applyBorder="1" applyAlignment="1" applyProtection="1">
      <alignment horizontal="center" vertical="center" wrapText="1"/>
      <protection hidden="1"/>
    </xf>
    <xf numFmtId="0" fontId="19" fillId="0" borderId="28" xfId="0" applyFont="1" applyBorder="1" applyAlignment="1" applyProtection="1">
      <alignment horizontal="center" vertical="center" wrapText="1"/>
      <protection hidden="1"/>
    </xf>
    <xf numFmtId="164" fontId="24" fillId="0" borderId="1" xfId="0" applyNumberFormat="1" applyFont="1" applyBorder="1" applyAlignment="1" applyProtection="1">
      <alignment horizontal="left" wrapText="1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14" fillId="0" borderId="26" xfId="0" applyFont="1" applyBorder="1" applyAlignment="1" applyProtection="1">
      <alignment horizontal="center" vertical="center" wrapText="1"/>
      <protection hidden="1"/>
    </xf>
    <xf numFmtId="0" fontId="40" fillId="5" borderId="2" xfId="0" applyFont="1" applyFill="1" applyBorder="1" applyAlignment="1" applyProtection="1">
      <alignment horizontal="center" vertical="center"/>
      <protection hidden="1"/>
    </xf>
    <xf numFmtId="0" fontId="40" fillId="5" borderId="26" xfId="0" applyFont="1" applyFill="1" applyBorder="1" applyAlignment="1" applyProtection="1">
      <alignment horizontal="center" vertical="center"/>
      <protection hidden="1"/>
    </xf>
    <xf numFmtId="0" fontId="45" fillId="0" borderId="0" xfId="0" applyFont="1" applyProtection="1">
      <protection hidden="1"/>
    </xf>
    <xf numFmtId="0" fontId="45" fillId="0" borderId="27" xfId="0" applyFont="1" applyBorder="1" applyAlignment="1" applyProtection="1">
      <alignment horizontal="center"/>
      <protection locked="0" hidden="1"/>
    </xf>
    <xf numFmtId="0" fontId="45" fillId="0" borderId="26" xfId="0" applyFont="1" applyBorder="1" applyAlignment="1" applyProtection="1">
      <alignment horizontal="center"/>
      <protection locked="0" hidden="1"/>
    </xf>
    <xf numFmtId="0" fontId="45" fillId="0" borderId="2" xfId="0" applyFont="1" applyBorder="1" applyAlignment="1" applyProtection="1">
      <alignment horizontal="left"/>
      <protection hidden="1"/>
    </xf>
    <xf numFmtId="0" fontId="45" fillId="0" borderId="28" xfId="0" applyFont="1" applyBorder="1" applyProtection="1">
      <protection locked="0" hidden="1"/>
    </xf>
    <xf numFmtId="0" fontId="46" fillId="0" borderId="2" xfId="0" applyFont="1" applyBorder="1" applyAlignment="1" applyProtection="1">
      <alignment horizontal="left"/>
      <protection hidden="1"/>
    </xf>
    <xf numFmtId="0" fontId="46" fillId="0" borderId="26" xfId="0" applyFont="1" applyBorder="1" applyAlignment="1" applyProtection="1">
      <alignment horizontal="left"/>
      <protection hidden="1"/>
    </xf>
    <xf numFmtId="0" fontId="46" fillId="0" borderId="28" xfId="0" applyFont="1" applyBorder="1" applyAlignment="1" applyProtection="1">
      <alignment horizontal="center"/>
      <protection locked="0" hidden="1"/>
    </xf>
    <xf numFmtId="0" fontId="45" fillId="0" borderId="0" xfId="0" applyFont="1"/>
    <xf numFmtId="0" fontId="46" fillId="0" borderId="0" xfId="0" applyFont="1" applyAlignment="1" applyProtection="1">
      <alignment horizontal="right"/>
      <protection hidden="1"/>
    </xf>
    <xf numFmtId="0" fontId="46" fillId="6" borderId="2" xfId="0" applyFont="1" applyFill="1" applyBorder="1" applyAlignment="1" applyProtection="1">
      <alignment horizontal="left"/>
      <protection locked="0" hidden="1"/>
    </xf>
    <xf numFmtId="0" fontId="46" fillId="6" borderId="30" xfId="0" applyFont="1" applyFill="1" applyBorder="1" applyAlignment="1" applyProtection="1">
      <alignment horizontal="left"/>
      <protection locked="0" hidden="1"/>
    </xf>
    <xf numFmtId="0" fontId="46" fillId="6" borderId="26" xfId="0" applyFont="1" applyFill="1" applyBorder="1" applyAlignment="1" applyProtection="1">
      <alignment horizontal="left"/>
      <protection locked="0" hidden="1"/>
    </xf>
    <xf numFmtId="0" fontId="46" fillId="0" borderId="28" xfId="0" applyFont="1" applyBorder="1" applyProtection="1">
      <protection locked="0" hidden="1"/>
    </xf>
    <xf numFmtId="0" fontId="46" fillId="6" borderId="28" xfId="0" applyFont="1" applyFill="1" applyBorder="1" applyAlignment="1" applyProtection="1">
      <alignment horizontal="center"/>
      <protection locked="0" hidden="1"/>
    </xf>
    <xf numFmtId="14" fontId="46" fillId="6" borderId="29" xfId="0" applyNumberFormat="1" applyFont="1" applyFill="1" applyBorder="1" applyProtection="1">
      <protection locked="0" hidden="1"/>
    </xf>
    <xf numFmtId="0" fontId="46" fillId="0" borderId="8" xfId="0" applyFont="1" applyBorder="1" applyAlignment="1" applyProtection="1">
      <alignment horizontal="right"/>
      <protection hidden="1"/>
    </xf>
    <xf numFmtId="0" fontId="46" fillId="0" borderId="26" xfId="0" applyFont="1" applyBorder="1" applyAlignment="1" applyProtection="1">
      <alignment horizontal="right"/>
      <protection hidden="1"/>
    </xf>
    <xf numFmtId="14" fontId="46" fillId="6" borderId="28" xfId="0" applyNumberFormat="1" applyFont="1" applyFill="1" applyBorder="1" applyAlignment="1" applyProtection="1">
      <alignment horizontal="center"/>
      <protection locked="0" hidden="1"/>
    </xf>
    <xf numFmtId="14" fontId="46" fillId="0" borderId="30" xfId="0" applyNumberFormat="1" applyFont="1" applyBorder="1" applyAlignment="1" applyProtection="1">
      <alignment horizontal="center"/>
      <protection locked="0" hidden="1"/>
    </xf>
    <xf numFmtId="165" fontId="46" fillId="6" borderId="28" xfId="0" applyNumberFormat="1" applyFont="1" applyFill="1" applyBorder="1" applyAlignment="1" applyProtection="1">
      <alignment horizontal="center"/>
      <protection hidden="1"/>
    </xf>
    <xf numFmtId="0" fontId="46" fillId="3" borderId="39" xfId="0" applyFont="1" applyFill="1" applyBorder="1" applyAlignment="1" applyProtection="1">
      <alignment horizontal="center"/>
      <protection hidden="1"/>
    </xf>
    <xf numFmtId="0" fontId="45" fillId="3" borderId="40" xfId="0" applyFont="1" applyFill="1" applyBorder="1" applyAlignment="1" applyProtection="1">
      <alignment horizontal="center"/>
      <protection hidden="1"/>
    </xf>
    <xf numFmtId="0" fontId="45" fillId="3" borderId="41" xfId="0" applyFont="1" applyFill="1" applyBorder="1" applyAlignment="1" applyProtection="1">
      <alignment horizontal="center"/>
      <protection hidden="1"/>
    </xf>
    <xf numFmtId="0" fontId="45" fillId="3" borderId="42" xfId="0" applyFont="1" applyFill="1" applyBorder="1" applyAlignment="1" applyProtection="1">
      <alignment horizontal="center"/>
      <protection hidden="1"/>
    </xf>
    <xf numFmtId="0" fontId="47" fillId="3" borderId="43" xfId="0" applyFont="1" applyFill="1" applyBorder="1" applyAlignment="1" applyProtection="1">
      <alignment horizontal="center"/>
      <protection hidden="1"/>
    </xf>
    <xf numFmtId="0" fontId="46" fillId="3" borderId="44" xfId="0" applyFont="1" applyFill="1" applyBorder="1" applyAlignment="1" applyProtection="1">
      <alignment horizontal="center"/>
      <protection hidden="1"/>
    </xf>
    <xf numFmtId="0" fontId="46" fillId="2" borderId="34" xfId="0" applyFont="1" applyFill="1" applyBorder="1" applyAlignment="1" applyProtection="1">
      <alignment horizontal="left"/>
      <protection hidden="1"/>
    </xf>
    <xf numFmtId="0" fontId="45" fillId="2" borderId="45" xfId="0" applyFont="1" applyFill="1" applyBorder="1" applyAlignment="1" applyProtection="1">
      <alignment horizontal="left"/>
      <protection hidden="1"/>
    </xf>
    <xf numFmtId="0" fontId="45" fillId="2" borderId="35" xfId="0" applyFont="1" applyFill="1" applyBorder="1" applyAlignment="1" applyProtection="1">
      <alignment horizontal="left"/>
      <protection hidden="1"/>
    </xf>
    <xf numFmtId="0" fontId="45" fillId="2" borderId="46" xfId="0" applyFont="1" applyFill="1" applyBorder="1" applyAlignment="1" applyProtection="1">
      <alignment horizontal="left"/>
      <protection hidden="1"/>
    </xf>
    <xf numFmtId="0" fontId="47" fillId="4" borderId="37" xfId="0" applyFont="1" applyFill="1" applyBorder="1" applyAlignment="1" applyProtection="1">
      <alignment horizontal="left"/>
      <protection hidden="1"/>
    </xf>
    <xf numFmtId="0" fontId="46" fillId="2" borderId="38" xfId="0" applyFont="1" applyFill="1" applyBorder="1" applyAlignment="1" applyProtection="1">
      <alignment horizontal="left"/>
      <protection hidden="1"/>
    </xf>
    <xf numFmtId="0" fontId="47" fillId="0" borderId="47" xfId="0" applyFont="1" applyBorder="1" applyAlignment="1" applyProtection="1">
      <alignment horizontal="left"/>
      <protection hidden="1"/>
    </xf>
    <xf numFmtId="164" fontId="45" fillId="0" borderId="17" xfId="0" applyNumberFormat="1" applyFont="1" applyBorder="1" applyAlignment="1" applyProtection="1">
      <alignment horizontal="right"/>
      <protection locked="0"/>
    </xf>
    <xf numFmtId="164" fontId="45" fillId="0" borderId="10" xfId="0" applyNumberFormat="1" applyFont="1" applyBorder="1" applyAlignment="1" applyProtection="1">
      <alignment horizontal="right"/>
      <protection locked="0" hidden="1"/>
    </xf>
    <xf numFmtId="164" fontId="45" fillId="0" borderId="22" xfId="0" applyNumberFormat="1" applyFont="1" applyBorder="1" applyAlignment="1" applyProtection="1">
      <alignment horizontal="right"/>
      <protection locked="0" hidden="1"/>
    </xf>
    <xf numFmtId="164" fontId="47" fillId="4" borderId="9" xfId="0" applyNumberFormat="1" applyFont="1" applyFill="1" applyBorder="1" applyAlignment="1" applyProtection="1">
      <alignment horizontal="right"/>
      <protection hidden="1"/>
    </xf>
    <xf numFmtId="164" fontId="45" fillId="0" borderId="10" xfId="0" applyNumberFormat="1" applyFont="1" applyBorder="1" applyAlignment="1" applyProtection="1">
      <alignment horizontal="right"/>
      <protection hidden="1"/>
    </xf>
    <xf numFmtId="164" fontId="46" fillId="0" borderId="18" xfId="0" applyNumberFormat="1" applyFont="1" applyBorder="1" applyAlignment="1" applyProtection="1">
      <alignment horizontal="right"/>
      <protection hidden="1"/>
    </xf>
    <xf numFmtId="0" fontId="47" fillId="0" borderId="48" xfId="0" applyFont="1" applyBorder="1" applyAlignment="1" applyProtection="1">
      <alignment horizontal="left"/>
      <protection hidden="1"/>
    </xf>
    <xf numFmtId="164" fontId="45" fillId="0" borderId="19" xfId="0" applyNumberFormat="1" applyFont="1" applyBorder="1" applyAlignment="1" applyProtection="1">
      <alignment horizontal="right"/>
      <protection locked="0"/>
    </xf>
    <xf numFmtId="164" fontId="45" fillId="0" borderId="15" xfId="0" applyNumberFormat="1" applyFont="1" applyBorder="1" applyAlignment="1" applyProtection="1">
      <alignment horizontal="right"/>
      <protection locked="0" hidden="1"/>
    </xf>
    <xf numFmtId="164" fontId="45" fillId="0" borderId="23" xfId="0" applyNumberFormat="1" applyFont="1" applyBorder="1" applyAlignment="1" applyProtection="1">
      <alignment horizontal="right"/>
      <protection locked="0" hidden="1"/>
    </xf>
    <xf numFmtId="0" fontId="46" fillId="0" borderId="34" xfId="0" applyFont="1" applyBorder="1" applyAlignment="1" applyProtection="1">
      <alignment horizontal="left"/>
      <protection hidden="1"/>
    </xf>
    <xf numFmtId="164" fontId="45" fillId="0" borderId="45" xfId="0" applyNumberFormat="1" applyFont="1" applyBorder="1" applyAlignment="1" applyProtection="1">
      <alignment horizontal="right"/>
      <protection locked="0"/>
    </xf>
    <xf numFmtId="164" fontId="45" fillId="0" borderId="35" xfId="0" applyNumberFormat="1" applyFont="1" applyBorder="1" applyAlignment="1" applyProtection="1">
      <alignment horizontal="right"/>
      <protection locked="0" hidden="1"/>
    </xf>
    <xf numFmtId="164" fontId="45" fillId="0" borderId="36" xfId="0" applyNumberFormat="1" applyFont="1" applyBorder="1" applyAlignment="1" applyProtection="1">
      <alignment horizontal="right"/>
      <protection locked="0" hidden="1"/>
    </xf>
    <xf numFmtId="164" fontId="47" fillId="4" borderId="37" xfId="0" applyNumberFormat="1" applyFont="1" applyFill="1" applyBorder="1" applyAlignment="1" applyProtection="1">
      <alignment horizontal="right"/>
      <protection hidden="1"/>
    </xf>
    <xf numFmtId="0" fontId="45" fillId="0" borderId="35" xfId="0" applyFont="1" applyBorder="1" applyProtection="1">
      <protection hidden="1"/>
    </xf>
    <xf numFmtId="164" fontId="46" fillId="0" borderId="38" xfId="0" applyNumberFormat="1" applyFont="1" applyBorder="1" applyAlignment="1" applyProtection="1">
      <alignment horizontal="right"/>
      <protection hidden="1"/>
    </xf>
    <xf numFmtId="0" fontId="47" fillId="0" borderId="49" xfId="0" applyFont="1" applyBorder="1" applyAlignment="1" applyProtection="1">
      <alignment horizontal="left"/>
      <protection hidden="1"/>
    </xf>
    <xf numFmtId="164" fontId="45" fillId="0" borderId="20" xfId="0" applyNumberFormat="1" applyFont="1" applyBorder="1" applyAlignment="1" applyProtection="1">
      <alignment horizontal="right"/>
      <protection locked="0"/>
    </xf>
    <xf numFmtId="164" fontId="45" fillId="0" borderId="21" xfId="0" applyNumberFormat="1" applyFont="1" applyBorder="1" applyAlignment="1" applyProtection="1">
      <alignment horizontal="right"/>
      <protection locked="0" hidden="1"/>
    </xf>
    <xf numFmtId="164" fontId="45" fillId="0" borderId="32" xfId="0" applyNumberFormat="1" applyFont="1" applyBorder="1" applyAlignment="1" applyProtection="1">
      <alignment horizontal="right"/>
      <protection locked="0" hidden="1"/>
    </xf>
    <xf numFmtId="164" fontId="47" fillId="4" borderId="33" xfId="0" applyNumberFormat="1" applyFont="1" applyFill="1" applyBorder="1" applyAlignment="1" applyProtection="1">
      <alignment horizontal="right"/>
      <protection hidden="1"/>
    </xf>
    <xf numFmtId="164" fontId="45" fillId="0" borderId="31" xfId="0" applyNumberFormat="1" applyFont="1" applyBorder="1" applyAlignment="1" applyProtection="1">
      <alignment horizontal="right"/>
      <protection hidden="1"/>
    </xf>
    <xf numFmtId="164" fontId="46" fillId="0" borderId="50" xfId="0" applyNumberFormat="1" applyFont="1" applyBorder="1" applyAlignment="1" applyProtection="1">
      <alignment horizontal="right"/>
      <protection hidden="1"/>
    </xf>
    <xf numFmtId="0" fontId="46" fillId="0" borderId="48" xfId="0" applyFont="1" applyBorder="1" applyAlignment="1" applyProtection="1">
      <alignment horizontal="left"/>
      <protection hidden="1"/>
    </xf>
    <xf numFmtId="0" fontId="47" fillId="0" borderId="51" xfId="0" applyFont="1" applyBorder="1" applyAlignment="1" applyProtection="1">
      <alignment horizontal="left"/>
      <protection hidden="1"/>
    </xf>
    <xf numFmtId="164" fontId="45" fillId="0" borderId="56" xfId="0" applyNumberFormat="1" applyFont="1" applyBorder="1" applyAlignment="1" applyProtection="1">
      <alignment horizontal="right"/>
      <protection locked="0"/>
    </xf>
    <xf numFmtId="164" fontId="45" fillId="0" borderId="12" xfId="0" applyNumberFormat="1" applyFont="1" applyBorder="1" applyAlignment="1" applyProtection="1">
      <alignment horizontal="right"/>
      <protection locked="0" hidden="1"/>
    </xf>
    <xf numFmtId="164" fontId="45" fillId="0" borderId="24" xfId="0" applyNumberFormat="1" applyFont="1" applyBorder="1" applyAlignment="1" applyProtection="1">
      <alignment horizontal="right"/>
      <protection locked="0" hidden="1"/>
    </xf>
    <xf numFmtId="164" fontId="47" fillId="4" borderId="11" xfId="0" applyNumberFormat="1" applyFont="1" applyFill="1" applyBorder="1" applyAlignment="1" applyProtection="1">
      <alignment horizontal="right"/>
      <protection hidden="1"/>
    </xf>
    <xf numFmtId="164" fontId="45" fillId="0" borderId="12" xfId="0" applyNumberFormat="1" applyFont="1" applyBorder="1" applyProtection="1">
      <protection hidden="1"/>
    </xf>
    <xf numFmtId="164" fontId="46" fillId="0" borderId="52" xfId="0" applyNumberFormat="1" applyFont="1" applyBorder="1" applyAlignment="1" applyProtection="1">
      <alignment horizontal="right"/>
      <protection hidden="1"/>
    </xf>
    <xf numFmtId="0" fontId="47" fillId="0" borderId="53" xfId="0" applyFont="1" applyBorder="1" applyAlignment="1" applyProtection="1">
      <alignment horizontal="left"/>
      <protection hidden="1"/>
    </xf>
    <xf numFmtId="164" fontId="45" fillId="0" borderId="13" xfId="0" applyNumberFormat="1" applyFont="1" applyBorder="1" applyAlignment="1" applyProtection="1">
      <alignment horizontal="right"/>
      <protection locked="0"/>
    </xf>
    <xf numFmtId="164" fontId="45" fillId="0" borderId="14" xfId="0" applyNumberFormat="1" applyFont="1" applyBorder="1" applyAlignment="1" applyProtection="1">
      <alignment horizontal="right"/>
      <protection locked="0" hidden="1"/>
    </xf>
    <xf numFmtId="164" fontId="45" fillId="0" borderId="25" xfId="0" applyNumberFormat="1" applyFont="1" applyBorder="1" applyAlignment="1" applyProtection="1">
      <alignment horizontal="right"/>
      <protection locked="0" hidden="1"/>
    </xf>
    <xf numFmtId="164" fontId="47" fillId="4" borderId="13" xfId="0" applyNumberFormat="1" applyFont="1" applyFill="1" applyBorder="1" applyAlignment="1" applyProtection="1">
      <alignment horizontal="right"/>
      <protection hidden="1"/>
    </xf>
    <xf numFmtId="164" fontId="45" fillId="0" borderId="14" xfId="0" applyNumberFormat="1" applyFont="1" applyBorder="1" applyAlignment="1" applyProtection="1">
      <alignment horizontal="right"/>
      <protection hidden="1"/>
    </xf>
    <xf numFmtId="164" fontId="46" fillId="0" borderId="16" xfId="0" applyNumberFormat="1" applyFont="1" applyBorder="1" applyAlignment="1" applyProtection="1">
      <alignment horizontal="right"/>
      <protection hidden="1"/>
    </xf>
    <xf numFmtId="0" fontId="47" fillId="0" borderId="0" xfId="0" applyFont="1" applyProtection="1">
      <protection hidden="1"/>
    </xf>
    <xf numFmtId="165" fontId="45" fillId="0" borderId="0" xfId="0" applyNumberFormat="1" applyFont="1" applyProtection="1">
      <protection hidden="1"/>
    </xf>
    <xf numFmtId="164" fontId="45" fillId="0" borderId="0" xfId="0" applyNumberFormat="1" applyFont="1" applyProtection="1">
      <protection hidden="1"/>
    </xf>
    <xf numFmtId="2" fontId="45" fillId="0" borderId="0" xfId="0" applyNumberFormat="1" applyFont="1" applyProtection="1">
      <protection hidden="1"/>
    </xf>
    <xf numFmtId="165" fontId="45" fillId="0" borderId="0" xfId="0" applyNumberFormat="1" applyFont="1"/>
    <xf numFmtId="0" fontId="46" fillId="0" borderId="2" xfId="0" applyFont="1" applyBorder="1" applyAlignment="1" applyProtection="1">
      <protection hidden="1"/>
    </xf>
    <xf numFmtId="0" fontId="45" fillId="0" borderId="26" xfId="0" applyFont="1" applyBorder="1" applyAlignment="1" applyProtection="1">
      <protection hidden="1"/>
    </xf>
  </cellXfs>
  <cellStyles count="31">
    <cellStyle name="Hipervínculo" xfId="25" builtinId="8" hidden="1"/>
    <cellStyle name="Hipervínculo" xfId="27" builtinId="8" hidden="1"/>
    <cellStyle name="Hipervínculo" xfId="23" builtinId="8" hidden="1"/>
    <cellStyle name="Hipervínculo" xfId="29" builtinId="8" hidden="1"/>
    <cellStyle name="Hipervínculo" xfId="11" builtinId="8" hidden="1"/>
    <cellStyle name="Hipervínculo" xfId="13" builtinId="8" hidden="1"/>
    <cellStyle name="Hipervínculo" xfId="21" builtinId="8" hidden="1"/>
    <cellStyle name="Hipervínculo" xfId="17" builtinId="8" hidden="1"/>
    <cellStyle name="Hipervínculo" xfId="19" builtinId="8" hidden="1"/>
    <cellStyle name="Hipervínculo" xfId="15" builtinId="8" hidden="1"/>
    <cellStyle name="Hipervínculo" xfId="3" builtinId="8" hidden="1"/>
    <cellStyle name="Hipervínculo" xfId="9" builtinId="8" hidden="1"/>
    <cellStyle name="Hipervínculo" xfId="5" builtinId="8" hidden="1"/>
    <cellStyle name="Hipervínculo" xfId="7" builtinId="8" hidden="1"/>
    <cellStyle name="Hipervínculo visitado" xfId="4" builtinId="9" hidden="1"/>
    <cellStyle name="Hipervínculo visitado" xfId="12" builtinId="9" hidden="1"/>
    <cellStyle name="Hipervínculo visitado" xfId="26" builtinId="9" hidden="1"/>
    <cellStyle name="Hipervínculo visitado" xfId="28" builtinId="9" hidden="1"/>
    <cellStyle name="Hipervínculo visitado" xfId="18" builtinId="9" hidden="1"/>
    <cellStyle name="Hipervínculo visitado" xfId="20" builtinId="9" hidden="1"/>
    <cellStyle name="Hipervínculo visitado" xfId="16" builtinId="9" hidden="1"/>
    <cellStyle name="Hipervínculo visitado" xfId="24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22" builtinId="9" hidden="1"/>
    <cellStyle name="Hipervínculo visitado" xfId="10" builtinId="9" hidden="1"/>
    <cellStyle name="Hipervínculo visitado" xfId="30" builtinId="9" hidden="1"/>
    <cellStyle name="Normal" xfId="0" builtinId="0"/>
    <cellStyle name="Percent 2" xfId="2" xr:uid="{00000000-0005-0000-0000-00001D000000}"/>
    <cellStyle name="Porcentaje" xfId="1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327273775894399E-2"/>
          <c:y val="1.7509769210564199E-2"/>
          <c:w val="0.95131869318068896"/>
          <c:h val="0.97081942623017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'INFORME IMPRIMIR'!$J$78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D4"/>
              </a:solidFill>
              <a:ln w="9525">
                <a:noFill/>
              </a:ln>
            </c:spPr>
          </c:marker>
          <c:xVal>
            <c:numRef>
              <c:f>'INFORME IMPRIMIR'!$K$78</c:f>
              <c:numCache>
                <c:formatCode>0.00</c:formatCode>
                <c:ptCount val="1"/>
                <c:pt idx="0">
                  <c:v>2.2017413151181078</c:v>
                </c:pt>
              </c:numCache>
            </c:numRef>
          </c:xVal>
          <c:yVal>
            <c:numRef>
              <c:f>'INFORME IMPRIMIR'!$K$79</c:f>
              <c:numCache>
                <c:formatCode>0.00</c:formatCode>
                <c:ptCount val="1"/>
                <c:pt idx="0">
                  <c:v>1.6918642693970387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569-88F8-34DD36F4DBB7}"/>
            </c:ext>
          </c:extLst>
        </c:ser>
        <c:ser>
          <c:idx val="1"/>
          <c:order val="1"/>
          <c:tx>
            <c:strRef>
              <c:f>'INFORME IMPRIMIR'!$H$81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DD0806"/>
              </a:solidFill>
              <a:ln w="9525">
                <a:noFill/>
              </a:ln>
            </c:spPr>
          </c:marker>
          <c:xVal>
            <c:numRef>
              <c:f>'INFORME IMPRIMIR'!$K$83</c:f>
              <c:numCache>
                <c:formatCode>0.0</c:formatCode>
                <c:ptCount val="1"/>
              </c:numCache>
            </c:numRef>
          </c:xVal>
          <c:yVal>
            <c:numRef>
              <c:f>'INFORME IMPRIMIR'!$K$84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9-4569-88F8-34DD36F4DBB7}"/>
            </c:ext>
          </c:extLst>
        </c:ser>
        <c:ser>
          <c:idx val="2"/>
          <c:order val="2"/>
          <c:tx>
            <c:strRef>
              <c:f>'INFORME IMPRIMIR'!$J$78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FB714"/>
              </a:solidFill>
              <a:ln>
                <a:solidFill>
                  <a:srgbClr val="1FB714"/>
                </a:solidFill>
                <a:prstDash val="solid"/>
              </a:ln>
            </c:spPr>
          </c:marker>
          <c:xVal>
            <c:numRef>
              <c:f>'INFORME IMPRIMIR'!$J$80</c:f>
              <c:numCache>
                <c:formatCode>0.0</c:formatCode>
                <c:ptCount val="1"/>
              </c:numCache>
            </c:numRef>
          </c:xVal>
          <c:yVal>
            <c:numRef>
              <c:f>'INFORME IMPRIMIR'!$K$80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09-4569-88F8-34DD36F4D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56480"/>
        <c:axId val="206358784"/>
      </c:scatterChart>
      <c:valAx>
        <c:axId val="206356480"/>
        <c:scaling>
          <c:orientation val="minMax"/>
          <c:max val="9"/>
          <c:min val="-9"/>
        </c:scaling>
        <c:delete val="0"/>
        <c:axPos val="b"/>
        <c:numFmt formatCode="0.00" sourceLinked="1"/>
        <c:majorTickMark val="out"/>
        <c:minorTickMark val="out"/>
        <c:tickLblPos val="none"/>
        <c:spPr>
          <a:ln w="9525">
            <a:noFill/>
          </a:ln>
        </c:spPr>
        <c:crossAx val="206358784"/>
        <c:crosses val="autoZero"/>
        <c:crossBetween val="midCat"/>
        <c:majorUnit val="1"/>
        <c:minorUnit val="1"/>
      </c:valAx>
      <c:valAx>
        <c:axId val="206358784"/>
        <c:scaling>
          <c:orientation val="minMax"/>
          <c:max val="16"/>
          <c:min val="-10"/>
        </c:scaling>
        <c:delete val="0"/>
        <c:axPos val="l"/>
        <c:numFmt formatCode="0.00" sourceLinked="1"/>
        <c:majorTickMark val="out"/>
        <c:minorTickMark val="in"/>
        <c:tickLblPos val="none"/>
        <c:spPr>
          <a:ln w="9525">
            <a:noFill/>
          </a:ln>
        </c:spPr>
        <c:crossAx val="206356480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53</xdr:row>
      <xdr:rowOff>50800</xdr:rowOff>
    </xdr:from>
    <xdr:to>
      <xdr:col>9</xdr:col>
      <xdr:colOff>606404</xdr:colOff>
      <xdr:row>72</xdr:row>
      <xdr:rowOff>118533</xdr:rowOff>
    </xdr:to>
    <xdr:pic>
      <xdr:nvPicPr>
        <xdr:cNvPr id="4302" name="Picture 80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1895667"/>
          <a:ext cx="5309637" cy="3843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317500</xdr:colOff>
      <xdr:row>47</xdr:row>
      <xdr:rowOff>139700</xdr:rowOff>
    </xdr:from>
    <xdr:to>
      <xdr:col>9</xdr:col>
      <xdr:colOff>482600</xdr:colOff>
      <xdr:row>76</xdr:row>
      <xdr:rowOff>63500</xdr:rowOff>
    </xdr:to>
    <xdr:graphicFrame macro="">
      <xdr:nvGraphicFramePr>
        <xdr:cNvPr id="4303" name="Chart 81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584835</xdr:colOff>
      <xdr:row>72</xdr:row>
      <xdr:rowOff>99695</xdr:rowOff>
    </xdr:from>
    <xdr:to>
      <xdr:col>2</xdr:col>
      <xdr:colOff>605890</xdr:colOff>
      <xdr:row>73</xdr:row>
      <xdr:rowOff>143238</xdr:rowOff>
    </xdr:to>
    <xdr:sp macro="" textlink="">
      <xdr:nvSpPr>
        <xdr:cNvPr id="4178" name="Text Box 82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 txBox="1">
          <a:spLocks noChangeArrowheads="1"/>
        </xdr:cNvSpPr>
      </xdr:nvSpPr>
      <xdr:spPr bwMode="auto">
        <a:xfrm>
          <a:off x="1226820" y="44165520"/>
          <a:ext cx="73914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ENDOMORFO</a:t>
          </a:r>
        </a:p>
      </xdr:txBody>
    </xdr:sp>
    <xdr:clientData/>
  </xdr:twoCellAnchor>
  <xdr:twoCellAnchor editAs="oneCell">
    <xdr:from>
      <xdr:col>4</xdr:col>
      <xdr:colOff>495935</xdr:colOff>
      <xdr:row>53</xdr:row>
      <xdr:rowOff>48260</xdr:rowOff>
    </xdr:from>
    <xdr:to>
      <xdr:col>5</xdr:col>
      <xdr:colOff>668585</xdr:colOff>
      <xdr:row>54</xdr:row>
      <xdr:rowOff>38100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 txBox="1">
          <a:spLocks noChangeArrowheads="1"/>
        </xdr:cNvSpPr>
      </xdr:nvSpPr>
      <xdr:spPr bwMode="auto">
        <a:xfrm>
          <a:off x="3154680" y="40774620"/>
          <a:ext cx="84582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MESOMORFO</a:t>
          </a:r>
        </a:p>
      </xdr:txBody>
    </xdr:sp>
    <xdr:clientData/>
  </xdr:twoCellAnchor>
  <xdr:twoCellAnchor editAs="oneCell">
    <xdr:from>
      <xdr:col>7</xdr:col>
      <xdr:colOff>437515</xdr:colOff>
      <xdr:row>72</xdr:row>
      <xdr:rowOff>74295</xdr:rowOff>
    </xdr:from>
    <xdr:to>
      <xdr:col>9</xdr:col>
      <xdr:colOff>414655</xdr:colOff>
      <xdr:row>73</xdr:row>
      <xdr:rowOff>68834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 txBox="1">
          <a:spLocks noChangeArrowheads="1"/>
        </xdr:cNvSpPr>
      </xdr:nvSpPr>
      <xdr:spPr bwMode="auto">
        <a:xfrm>
          <a:off x="4975860" y="44127420"/>
          <a:ext cx="85344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9966"/>
              </a:solidFill>
              <a:latin typeface="Arial"/>
              <a:cs typeface="Arial"/>
            </a:rPr>
            <a:t>ECTOMORFO</a:t>
          </a:r>
        </a:p>
      </xdr:txBody>
    </xdr:sp>
    <xdr:clientData/>
  </xdr:twoCellAnchor>
  <xdr:twoCellAnchor>
    <xdr:from>
      <xdr:col>9</xdr:col>
      <xdr:colOff>127000</xdr:colOff>
      <xdr:row>78</xdr:row>
      <xdr:rowOff>12700</xdr:rowOff>
    </xdr:from>
    <xdr:to>
      <xdr:col>9</xdr:col>
      <xdr:colOff>292100</xdr:colOff>
      <xdr:row>78</xdr:row>
      <xdr:rowOff>127000</xdr:rowOff>
    </xdr:to>
    <xdr:sp macro="" textlink="">
      <xdr:nvSpPr>
        <xdr:cNvPr id="4307" name="Oval 85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rrowheads="1"/>
        </xdr:cNvSpPr>
      </xdr:nvSpPr>
      <xdr:spPr bwMode="auto">
        <a:xfrm>
          <a:off x="6197600" y="43027600"/>
          <a:ext cx="165100" cy="114300"/>
        </a:xfrm>
        <a:prstGeom prst="ellipse">
          <a:avLst/>
        </a:prstGeom>
        <a:solidFill>
          <a:srgbClr val="0000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WINDOWS/Escritorio/Arangio/Antrop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 datos bru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117"/>
  <sheetViews>
    <sheetView tabSelected="1" topLeftCell="A27" zoomScaleSheetLayoutView="100" workbookViewId="0">
      <selection activeCell="A27" sqref="A1:XFD1048576"/>
    </sheetView>
  </sheetViews>
  <sheetFormatPr defaultColWidth="10.7109375" defaultRowHeight="12.75"/>
  <cols>
    <col min="1" max="1" width="25.140625" style="180" customWidth="1"/>
    <col min="2" max="2" width="12" style="180" customWidth="1"/>
    <col min="3" max="3" width="8.85546875" style="180" customWidth="1"/>
    <col min="4" max="4" width="7.7109375" style="180" customWidth="1"/>
    <col min="5" max="5" width="9.7109375" style="180" customWidth="1"/>
    <col min="6" max="6" width="8.140625" style="180" customWidth="1"/>
    <col min="7" max="7" width="8.85546875" style="180" customWidth="1"/>
    <col min="8" max="9" width="10.7109375" style="180" customWidth="1"/>
    <col min="10" max="10" width="4" style="180" customWidth="1"/>
    <col min="11" max="16384" width="10.7109375" style="180"/>
  </cols>
  <sheetData>
    <row r="1" spans="1:11" ht="17.100000000000001" customHeight="1">
      <c r="A1" s="172"/>
      <c r="B1" s="172"/>
      <c r="C1" s="173"/>
      <c r="D1" s="174"/>
      <c r="E1" s="175"/>
      <c r="F1" s="176"/>
      <c r="G1" s="177"/>
      <c r="H1" s="178"/>
      <c r="I1" s="179"/>
      <c r="J1" s="172"/>
      <c r="K1" s="172"/>
    </row>
    <row r="2" spans="1:11" ht="17.100000000000001" customHeight="1">
      <c r="A2" s="181" t="s">
        <v>0</v>
      </c>
      <c r="B2" s="182" t="s">
        <v>1</v>
      </c>
      <c r="C2" s="183"/>
      <c r="D2" s="183"/>
      <c r="E2" s="184"/>
      <c r="F2" s="185"/>
      <c r="G2" s="250" t="s">
        <v>2</v>
      </c>
      <c r="H2" s="251"/>
      <c r="I2" s="186">
        <v>2</v>
      </c>
      <c r="J2" s="172"/>
      <c r="K2" s="172"/>
    </row>
    <row r="3" spans="1:11" ht="17.100000000000001" customHeight="1">
      <c r="A3" s="181" t="s">
        <v>3</v>
      </c>
      <c r="B3" s="187">
        <v>44664</v>
      </c>
      <c r="C3" s="188" t="s">
        <v>4</v>
      </c>
      <c r="D3" s="189"/>
      <c r="E3" s="190" t="s">
        <v>5</v>
      </c>
      <c r="F3" s="191"/>
      <c r="G3" s="177" t="s">
        <v>6</v>
      </c>
      <c r="H3" s="178"/>
      <c r="I3" s="192">
        <v>38</v>
      </c>
      <c r="J3" s="172"/>
      <c r="K3" s="172"/>
    </row>
    <row r="4" spans="1:11" ht="17.100000000000001" customHeight="1">
      <c r="A4" s="193" t="s">
        <v>7</v>
      </c>
      <c r="B4" s="194" t="s">
        <v>8</v>
      </c>
      <c r="C4" s="195" t="s">
        <v>9</v>
      </c>
      <c r="D4" s="195" t="s">
        <v>10</v>
      </c>
      <c r="E4" s="195" t="s">
        <v>11</v>
      </c>
      <c r="F4" s="196" t="s">
        <v>12</v>
      </c>
      <c r="G4" s="197" t="s">
        <v>13</v>
      </c>
      <c r="H4" s="195"/>
      <c r="I4" s="198"/>
      <c r="J4" s="172"/>
      <c r="K4" s="172"/>
    </row>
    <row r="5" spans="1:11" ht="17.100000000000001" customHeight="1">
      <c r="A5" s="199" t="s">
        <v>14</v>
      </c>
      <c r="B5" s="200"/>
      <c r="C5" s="201"/>
      <c r="D5" s="201"/>
      <c r="E5" s="201"/>
      <c r="F5" s="202"/>
      <c r="G5" s="203"/>
      <c r="H5" s="201"/>
      <c r="I5" s="204"/>
      <c r="J5" s="172"/>
      <c r="K5" s="172"/>
    </row>
    <row r="6" spans="1:11" ht="17.100000000000001" customHeight="1">
      <c r="A6" s="205" t="s">
        <v>15</v>
      </c>
      <c r="B6" s="206">
        <v>65.599999999999994</v>
      </c>
      <c r="C6" s="207"/>
      <c r="D6" s="207"/>
      <c r="E6" s="207"/>
      <c r="F6" s="208"/>
      <c r="G6" s="209">
        <f>ROUND(MEDIAN(B6:F6),3)</f>
        <v>65.599999999999994</v>
      </c>
      <c r="H6" s="210"/>
      <c r="I6" s="211"/>
      <c r="J6" s="172"/>
      <c r="K6" s="172"/>
    </row>
    <row r="7" spans="1:11" ht="17.100000000000001" customHeight="1">
      <c r="A7" s="212" t="s">
        <v>16</v>
      </c>
      <c r="B7" s="213">
        <v>168</v>
      </c>
      <c r="C7" s="214"/>
      <c r="D7" s="214"/>
      <c r="E7" s="214"/>
      <c r="F7" s="215"/>
      <c r="G7" s="209">
        <f>ROUND(MEDIAN(B7:F7),3)</f>
        <v>168</v>
      </c>
      <c r="H7" s="210"/>
      <c r="I7" s="211"/>
      <c r="J7" s="172"/>
      <c r="K7" s="172"/>
    </row>
    <row r="8" spans="1:11" ht="17.100000000000001" customHeight="1">
      <c r="A8" s="216" t="s">
        <v>17</v>
      </c>
      <c r="B8" s="217"/>
      <c r="C8" s="218"/>
      <c r="D8" s="218"/>
      <c r="E8" s="218"/>
      <c r="F8" s="219"/>
      <c r="G8" s="220"/>
      <c r="H8" s="221"/>
      <c r="I8" s="222"/>
      <c r="J8" s="172"/>
      <c r="K8" s="172"/>
    </row>
    <row r="9" spans="1:11" ht="17.100000000000001" customHeight="1">
      <c r="A9" s="212" t="s">
        <v>18</v>
      </c>
      <c r="B9" s="213">
        <v>6</v>
      </c>
      <c r="C9" s="214"/>
      <c r="D9" s="214"/>
      <c r="E9" s="214"/>
      <c r="F9" s="215"/>
      <c r="G9" s="209">
        <f t="shared" ref="G9:G10" si="0">ROUND(MEDIAN(B9:F9),3)</f>
        <v>6</v>
      </c>
      <c r="H9" s="210"/>
      <c r="I9" s="211"/>
      <c r="J9" s="172"/>
      <c r="K9" s="172"/>
    </row>
    <row r="10" spans="1:11" ht="17.100000000000001" customHeight="1">
      <c r="A10" s="223" t="s">
        <v>19</v>
      </c>
      <c r="B10" s="224">
        <v>10.3</v>
      </c>
      <c r="C10" s="225"/>
      <c r="D10" s="225"/>
      <c r="E10" s="225"/>
      <c r="F10" s="226"/>
      <c r="G10" s="227">
        <f t="shared" si="0"/>
        <v>10.3</v>
      </c>
      <c r="H10" s="228"/>
      <c r="I10" s="229"/>
      <c r="J10" s="172"/>
      <c r="K10" s="172"/>
    </row>
    <row r="11" spans="1:11" ht="17.100000000000001" customHeight="1">
      <c r="A11" s="216" t="s">
        <v>20</v>
      </c>
      <c r="B11" s="217"/>
      <c r="C11" s="218"/>
      <c r="D11" s="218"/>
      <c r="E11" s="218"/>
      <c r="F11" s="219"/>
      <c r="G11" s="220"/>
      <c r="H11" s="221"/>
      <c r="I11" s="222"/>
      <c r="J11" s="172"/>
      <c r="K11" s="172"/>
    </row>
    <row r="12" spans="1:11" ht="17.100000000000001" customHeight="1">
      <c r="A12" s="212" t="s">
        <v>21</v>
      </c>
      <c r="B12" s="213">
        <v>28</v>
      </c>
      <c r="C12" s="214"/>
      <c r="D12" s="214"/>
      <c r="E12" s="214"/>
      <c r="F12" s="215"/>
      <c r="G12" s="209">
        <f t="shared" ref="G12:G16" si="1">ROUND(MEDIAN(B12:F12),3)</f>
        <v>28</v>
      </c>
      <c r="H12" s="210"/>
      <c r="I12" s="211"/>
      <c r="J12" s="172"/>
      <c r="K12" s="172"/>
    </row>
    <row r="13" spans="1:11" ht="17.100000000000001" customHeight="1">
      <c r="A13" s="230" t="s">
        <v>22</v>
      </c>
      <c r="B13" s="213">
        <v>30</v>
      </c>
      <c r="C13" s="214"/>
      <c r="D13" s="214"/>
      <c r="E13" s="214"/>
      <c r="F13" s="215"/>
      <c r="G13" s="209">
        <f t="shared" si="1"/>
        <v>30</v>
      </c>
      <c r="H13" s="210"/>
      <c r="I13" s="211"/>
      <c r="J13" s="172"/>
      <c r="K13" s="172"/>
    </row>
    <row r="14" spans="1:11" ht="17.100000000000001" customHeight="1">
      <c r="A14" s="212" t="s">
        <v>23</v>
      </c>
      <c r="B14" s="213">
        <v>72.5</v>
      </c>
      <c r="C14" s="214"/>
      <c r="D14" s="214"/>
      <c r="E14" s="214"/>
      <c r="F14" s="215"/>
      <c r="G14" s="209">
        <f t="shared" si="1"/>
        <v>72.5</v>
      </c>
      <c r="H14" s="210"/>
      <c r="I14" s="211"/>
      <c r="J14" s="172"/>
      <c r="K14" s="172"/>
    </row>
    <row r="15" spans="1:11" ht="17.100000000000001" customHeight="1">
      <c r="A15" s="230" t="s">
        <v>24</v>
      </c>
      <c r="B15" s="213">
        <v>93.3</v>
      </c>
      <c r="C15" s="214"/>
      <c r="D15" s="214"/>
      <c r="E15" s="214"/>
      <c r="F15" s="215"/>
      <c r="G15" s="209">
        <f t="shared" si="1"/>
        <v>93.3</v>
      </c>
      <c r="H15" s="210"/>
      <c r="I15" s="211"/>
      <c r="J15" s="172"/>
      <c r="K15" s="172"/>
    </row>
    <row r="16" spans="1:11" ht="17.100000000000001" customHeight="1">
      <c r="A16" s="223" t="s">
        <v>25</v>
      </c>
      <c r="B16" s="224">
        <v>34.5</v>
      </c>
      <c r="C16" s="225"/>
      <c r="D16" s="225"/>
      <c r="E16" s="225"/>
      <c r="F16" s="226"/>
      <c r="G16" s="227">
        <f t="shared" si="1"/>
        <v>34.5</v>
      </c>
      <c r="H16" s="228"/>
      <c r="I16" s="229"/>
      <c r="J16" s="172"/>
      <c r="K16" s="172"/>
    </row>
    <row r="17" spans="1:11" ht="17.100000000000001" customHeight="1">
      <c r="A17" s="216" t="s">
        <v>26</v>
      </c>
      <c r="B17" s="217"/>
      <c r="C17" s="218"/>
      <c r="D17" s="218"/>
      <c r="E17" s="218"/>
      <c r="F17" s="219"/>
      <c r="G17" s="220"/>
      <c r="H17" s="221"/>
      <c r="I17" s="222"/>
      <c r="J17" s="172"/>
      <c r="K17" s="172"/>
    </row>
    <row r="18" spans="1:11" ht="17.100000000000001" customHeight="1">
      <c r="A18" s="231" t="s">
        <v>27</v>
      </c>
      <c r="B18" s="232">
        <v>8</v>
      </c>
      <c r="C18" s="233">
        <v>7.5</v>
      </c>
      <c r="D18" s="233"/>
      <c r="E18" s="233"/>
      <c r="F18" s="234"/>
      <c r="G18" s="235">
        <f t="shared" ref="G18:G25" si="2">ROUND(MEDIAN(B18:F18),3)</f>
        <v>7.75</v>
      </c>
      <c r="H18" s="236"/>
      <c r="I18" s="237"/>
      <c r="J18" s="172"/>
      <c r="K18" s="172"/>
    </row>
    <row r="19" spans="1:11" ht="17.100000000000001" customHeight="1">
      <c r="A19" s="212" t="s">
        <v>28</v>
      </c>
      <c r="B19" s="213">
        <v>5.5</v>
      </c>
      <c r="C19" s="214">
        <v>5</v>
      </c>
      <c r="D19" s="214"/>
      <c r="E19" s="214"/>
      <c r="F19" s="215"/>
      <c r="G19" s="209">
        <f t="shared" si="2"/>
        <v>5.25</v>
      </c>
      <c r="H19" s="210"/>
      <c r="I19" s="211"/>
      <c r="J19" s="172"/>
      <c r="K19" s="172"/>
    </row>
    <row r="20" spans="1:11" ht="17.100000000000001" customHeight="1">
      <c r="A20" s="212" t="s">
        <v>29</v>
      </c>
      <c r="B20" s="213">
        <v>1.5</v>
      </c>
      <c r="C20" s="214">
        <v>1.5</v>
      </c>
      <c r="D20" s="214"/>
      <c r="E20" s="214"/>
      <c r="F20" s="215"/>
      <c r="G20" s="209">
        <f t="shared" si="2"/>
        <v>1.5</v>
      </c>
      <c r="H20" s="210"/>
      <c r="I20" s="211"/>
      <c r="J20" s="172"/>
      <c r="K20" s="172"/>
    </row>
    <row r="21" spans="1:11" ht="17.100000000000001" customHeight="1">
      <c r="A21" s="212" t="s">
        <v>30</v>
      </c>
      <c r="B21" s="213">
        <v>7.2</v>
      </c>
      <c r="C21" s="214">
        <v>7</v>
      </c>
      <c r="D21" s="214"/>
      <c r="E21" s="214"/>
      <c r="F21" s="215"/>
      <c r="G21" s="209">
        <f t="shared" si="2"/>
        <v>7.1</v>
      </c>
      <c r="H21" s="210"/>
      <c r="I21" s="211"/>
      <c r="J21" s="172"/>
      <c r="K21" s="172"/>
    </row>
    <row r="22" spans="1:11" ht="17.100000000000001" customHeight="1">
      <c r="A22" s="212" t="s">
        <v>31</v>
      </c>
      <c r="B22" s="213">
        <v>4.5</v>
      </c>
      <c r="C22" s="214">
        <v>4.5</v>
      </c>
      <c r="D22" s="214"/>
      <c r="E22" s="214"/>
      <c r="F22" s="215"/>
      <c r="G22" s="209">
        <f t="shared" si="2"/>
        <v>4.5</v>
      </c>
      <c r="H22" s="210"/>
      <c r="I22" s="211"/>
      <c r="J22" s="172"/>
      <c r="K22" s="172"/>
    </row>
    <row r="23" spans="1:11" ht="17.100000000000001" customHeight="1">
      <c r="A23" s="212" t="s">
        <v>32</v>
      </c>
      <c r="B23" s="213">
        <v>13</v>
      </c>
      <c r="C23" s="214">
        <v>13</v>
      </c>
      <c r="D23" s="214"/>
      <c r="E23" s="214"/>
      <c r="F23" s="215"/>
      <c r="G23" s="209">
        <f t="shared" si="2"/>
        <v>13</v>
      </c>
      <c r="H23" s="210"/>
      <c r="I23" s="211"/>
      <c r="J23" s="172"/>
      <c r="K23" s="172"/>
    </row>
    <row r="24" spans="1:11" ht="17.100000000000001" customHeight="1">
      <c r="A24" s="212" t="s">
        <v>33</v>
      </c>
      <c r="B24" s="213">
        <v>14</v>
      </c>
      <c r="C24" s="214">
        <v>14</v>
      </c>
      <c r="D24" s="214"/>
      <c r="E24" s="214"/>
      <c r="F24" s="215"/>
      <c r="G24" s="209">
        <f t="shared" si="2"/>
        <v>14</v>
      </c>
      <c r="H24" s="210"/>
      <c r="I24" s="211"/>
      <c r="J24" s="172"/>
      <c r="K24" s="172"/>
    </row>
    <row r="25" spans="1:11" ht="17.100000000000001" customHeight="1">
      <c r="A25" s="238" t="s">
        <v>25</v>
      </c>
      <c r="B25" s="239">
        <v>6</v>
      </c>
      <c r="C25" s="240">
        <v>6</v>
      </c>
      <c r="D25" s="240"/>
      <c r="E25" s="240"/>
      <c r="F25" s="241"/>
      <c r="G25" s="242">
        <f t="shared" si="2"/>
        <v>6</v>
      </c>
      <c r="H25" s="243"/>
      <c r="I25" s="244"/>
      <c r="J25" s="172"/>
      <c r="K25" s="172"/>
    </row>
    <row r="26" spans="1:11" ht="17.100000000000001" customHeight="1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</row>
    <row r="27" spans="1:11" ht="17.100000000000001" customHeight="1">
      <c r="A27" s="245" t="s">
        <v>34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</row>
    <row r="28" spans="1:11" ht="17.100000000000001" customHeight="1">
      <c r="A28" s="245" t="s">
        <v>35</v>
      </c>
      <c r="B28" s="172"/>
      <c r="C28" s="172"/>
      <c r="D28" s="245"/>
      <c r="E28" s="172"/>
      <c r="F28" s="172"/>
      <c r="G28" s="172"/>
      <c r="H28" s="172"/>
      <c r="I28" s="172"/>
      <c r="J28" s="172"/>
      <c r="K28" s="172"/>
    </row>
    <row r="29" spans="1:11" ht="17.100000000000001" customHeight="1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</row>
    <row r="30" spans="1:11" ht="17.100000000000001" customHeight="1">
      <c r="A30" s="172" t="s">
        <v>36</v>
      </c>
      <c r="B30" s="246">
        <f>(-0.7182+(0.1451*B31)-(0.00068*B31^2)+(0.0000014*B31^3))</f>
        <v>1.6481091603761631</v>
      </c>
      <c r="C30" s="172"/>
      <c r="D30" s="247"/>
      <c r="E30" s="172"/>
      <c r="F30" s="172"/>
      <c r="G30" s="172"/>
      <c r="H30" s="172"/>
      <c r="I30" s="172"/>
      <c r="J30" s="172"/>
      <c r="K30" s="172"/>
    </row>
    <row r="31" spans="1:11" ht="17.100000000000001" customHeight="1">
      <c r="A31" s="172" t="s">
        <v>37</v>
      </c>
      <c r="B31" s="172">
        <f>SUM(G18+G22+G19)*170.18/$G$7</f>
        <v>17.727083333333333</v>
      </c>
      <c r="C31" s="172"/>
      <c r="D31" s="172"/>
      <c r="E31" s="172"/>
      <c r="F31" s="172"/>
      <c r="G31" s="172"/>
      <c r="H31" s="172"/>
      <c r="I31" s="172"/>
      <c r="J31" s="172"/>
      <c r="K31" s="172"/>
    </row>
    <row r="32" spans="1:11" ht="17.100000000000001" customHeight="1">
      <c r="A32" s="172"/>
      <c r="B32" s="172"/>
      <c r="C32" s="172"/>
      <c r="D32" s="245"/>
      <c r="E32" s="172"/>
      <c r="F32" s="172"/>
      <c r="G32" s="172"/>
      <c r="H32" s="172"/>
      <c r="I32" s="172"/>
      <c r="J32" s="172"/>
      <c r="K32" s="172"/>
    </row>
    <row r="33" spans="1:11" ht="17.100000000000001" customHeight="1">
      <c r="A33" s="172" t="s">
        <v>38</v>
      </c>
      <c r="B33" s="246">
        <f>(0.858*G9)+(0.601*G10)+(0.188*(G13-G18/10))+(0.161*(G16-G25/10))-(G7*0.131)+4.5</f>
        <v>4.7824999999999953</v>
      </c>
      <c r="C33" s="172"/>
      <c r="D33" s="247"/>
      <c r="E33" s="172"/>
      <c r="F33" s="172"/>
      <c r="G33" s="172"/>
      <c r="H33" s="172"/>
      <c r="I33" s="172"/>
      <c r="J33" s="172"/>
      <c r="K33" s="172"/>
    </row>
    <row r="34" spans="1:11" ht="17.100000000000001" customHeight="1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</row>
    <row r="35" spans="1:11" ht="17.100000000000001" customHeight="1">
      <c r="A35" s="172" t="s">
        <v>39</v>
      </c>
      <c r="B35" s="246">
        <f>IF(B36&gt;=40.75,0.732*B36-28.58,0.463*B36-17.63)</f>
        <v>1.9162411465636389</v>
      </c>
      <c r="C35" s="172"/>
      <c r="D35" s="172"/>
      <c r="E35" s="172"/>
      <c r="F35" s="172"/>
      <c r="G35" s="172"/>
      <c r="H35" s="172"/>
      <c r="I35" s="172"/>
      <c r="J35" s="172"/>
      <c r="K35" s="172"/>
    </row>
    <row r="36" spans="1:11" ht="17.100000000000001" customHeight="1">
      <c r="A36" s="172" t="s">
        <v>40</v>
      </c>
      <c r="B36" s="172">
        <f>G7/(G6)^0.3333</f>
        <v>41.661531620988576</v>
      </c>
      <c r="C36" s="172"/>
      <c r="D36" s="172"/>
      <c r="E36" s="172"/>
      <c r="F36" s="172"/>
      <c r="G36" s="172"/>
      <c r="H36" s="172"/>
      <c r="I36" s="172"/>
      <c r="J36" s="172"/>
      <c r="K36" s="172"/>
    </row>
    <row r="37" spans="1:11" ht="17.100000000000001" customHeight="1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</row>
    <row r="38" spans="1:11" ht="17.100000000000001" customHeight="1">
      <c r="A38" s="245" t="s">
        <v>41</v>
      </c>
      <c r="B38" s="172"/>
      <c r="C38" s="172" t="s">
        <v>42</v>
      </c>
      <c r="D38" s="245"/>
      <c r="E38" s="172"/>
      <c r="F38" s="172"/>
      <c r="G38" s="172"/>
      <c r="H38" s="172"/>
      <c r="I38" s="172"/>
      <c r="J38" s="172"/>
      <c r="K38" s="172"/>
    </row>
    <row r="39" spans="1:11" ht="17.100000000000001" customHeight="1">
      <c r="A39" s="172" t="s">
        <v>43</v>
      </c>
      <c r="B39" s="248"/>
      <c r="C39" s="172" t="s">
        <v>44</v>
      </c>
      <c r="D39" s="248" t="s">
        <v>45</v>
      </c>
      <c r="E39" s="172"/>
      <c r="F39" s="172"/>
      <c r="G39" s="172"/>
      <c r="H39" s="172"/>
      <c r="I39" s="172"/>
      <c r="J39" s="172"/>
      <c r="K39" s="172"/>
    </row>
    <row r="40" spans="1:11" ht="17.100000000000001" customHeight="1">
      <c r="A40" s="172" t="s">
        <v>46</v>
      </c>
      <c r="B40" s="246">
        <f>B18+B19+B20+B21</f>
        <v>22.2</v>
      </c>
      <c r="C40" s="172"/>
      <c r="D40" s="248"/>
      <c r="E40" s="172"/>
      <c r="F40" s="172"/>
      <c r="G40" s="172"/>
      <c r="H40" s="172"/>
      <c r="I40" s="172"/>
      <c r="J40" s="172"/>
      <c r="K40" s="172"/>
    </row>
    <row r="41" spans="1:11" ht="17.100000000000001" customHeight="1">
      <c r="A41" s="172" t="s">
        <v>47</v>
      </c>
      <c r="B41" s="248">
        <f>LOG(B40)</f>
        <v>1.3463529744506386</v>
      </c>
      <c r="C41" s="172">
        <f>1.1765-(0.0744*B41)</f>
        <v>1.0763313387008726</v>
      </c>
      <c r="D41" s="248">
        <f>1.1567-(0.0717*B41)</f>
        <v>1.0601664917318894</v>
      </c>
      <c r="E41" s="172"/>
      <c r="F41" s="172"/>
      <c r="G41" s="172"/>
      <c r="H41" s="172"/>
      <c r="I41" s="172"/>
      <c r="J41" s="172"/>
      <c r="K41" s="172"/>
    </row>
    <row r="42" spans="1:11" ht="17.100000000000001" customHeight="1">
      <c r="A42" s="172" t="s">
        <v>48</v>
      </c>
      <c r="B42" s="248"/>
      <c r="C42" s="246">
        <f>(495/C41)-450</f>
        <v>9.8955565090791993</v>
      </c>
      <c r="D42" s="246">
        <f>(495/D41)-450</f>
        <v>16.907795955112078</v>
      </c>
      <c r="E42" s="172"/>
      <c r="F42" s="172"/>
      <c r="G42" s="172"/>
      <c r="H42" s="172"/>
      <c r="I42" s="172"/>
      <c r="J42" s="172"/>
      <c r="K42" s="172"/>
    </row>
    <row r="43" spans="1:11">
      <c r="A43" s="172" t="s">
        <v>49</v>
      </c>
      <c r="B43" s="247"/>
      <c r="C43" s="247"/>
      <c r="D43" s="172"/>
      <c r="E43" s="172"/>
      <c r="F43" s="172"/>
      <c r="G43" s="172"/>
      <c r="H43" s="172"/>
      <c r="I43" s="172"/>
      <c r="J43" s="172"/>
      <c r="K43" s="172"/>
    </row>
    <row r="44" spans="1:11">
      <c r="A44" s="180" t="s">
        <v>50</v>
      </c>
      <c r="B44" s="249">
        <f>B18+B19+B22+B23+B24+B25</f>
        <v>51</v>
      </c>
      <c r="C44" s="180">
        <f>(0.1051*B44)+2.585</f>
        <v>7.9451000000000001</v>
      </c>
      <c r="D44" s="180">
        <f>(0.1548*B44)+3.58</f>
        <v>11.4748</v>
      </c>
      <c r="J44" s="172"/>
      <c r="K44" s="172"/>
    </row>
    <row r="45" spans="1:11">
      <c r="J45" s="172"/>
      <c r="K45" s="172"/>
    </row>
    <row r="46" spans="1:11">
      <c r="A46" s="172" t="s">
        <v>51</v>
      </c>
      <c r="B46" s="249">
        <f>(B12*10-(B18*3.14))^2/(4*3.14)</f>
        <v>5172.2782165605086</v>
      </c>
      <c r="J46" s="172"/>
      <c r="K46" s="172"/>
    </row>
    <row r="47" spans="1:11">
      <c r="B47" s="249">
        <f>(B12-(B18*0.314))^2/(4*3.14)</f>
        <v>51.722782165605096</v>
      </c>
      <c r="J47" s="172"/>
      <c r="K47" s="172"/>
    </row>
    <row r="48" spans="1:11">
      <c r="J48" s="172"/>
      <c r="K48" s="172"/>
    </row>
    <row r="49" spans="10:11">
      <c r="J49" s="172"/>
      <c r="K49" s="172"/>
    </row>
    <row r="50" spans="10:11">
      <c r="J50" s="172"/>
      <c r="K50" s="172"/>
    </row>
    <row r="51" spans="10:11">
      <c r="J51" s="172"/>
      <c r="K51" s="172"/>
    </row>
    <row r="52" spans="10:11">
      <c r="J52" s="172"/>
      <c r="K52" s="172"/>
    </row>
    <row r="53" spans="10:11">
      <c r="J53" s="172"/>
      <c r="K53" s="172"/>
    </row>
    <row r="54" spans="10:11">
      <c r="J54" s="172"/>
      <c r="K54" s="172"/>
    </row>
    <row r="55" spans="10:11">
      <c r="J55" s="172"/>
      <c r="K55" s="172"/>
    </row>
    <row r="56" spans="10:11">
      <c r="J56" s="172"/>
      <c r="K56" s="172"/>
    </row>
    <row r="57" spans="10:11">
      <c r="J57" s="172"/>
      <c r="K57" s="172"/>
    </row>
    <row r="58" spans="10:11">
      <c r="J58" s="172"/>
      <c r="K58" s="172"/>
    </row>
    <row r="59" spans="10:11">
      <c r="J59" s="172"/>
      <c r="K59" s="172"/>
    </row>
    <row r="60" spans="10:11">
      <c r="J60" s="172"/>
      <c r="K60" s="172"/>
    </row>
    <row r="61" spans="10:11">
      <c r="J61" s="172"/>
      <c r="K61" s="172"/>
    </row>
    <row r="62" spans="10:11">
      <c r="J62" s="172"/>
      <c r="K62" s="172"/>
    </row>
    <row r="63" spans="10:11">
      <c r="J63" s="172"/>
      <c r="K63" s="172"/>
    </row>
    <row r="64" spans="10:11">
      <c r="J64" s="172"/>
      <c r="K64" s="172"/>
    </row>
    <row r="65" spans="10:11">
      <c r="J65" s="172"/>
      <c r="K65" s="172"/>
    </row>
    <row r="66" spans="10:11">
      <c r="J66" s="172"/>
      <c r="K66" s="172"/>
    </row>
    <row r="67" spans="10:11">
      <c r="J67" s="172"/>
      <c r="K67" s="172"/>
    </row>
    <row r="68" spans="10:11">
      <c r="J68" s="172"/>
      <c r="K68" s="172"/>
    </row>
    <row r="69" spans="10:11">
      <c r="J69" s="172"/>
      <c r="K69" s="172"/>
    </row>
    <row r="70" spans="10:11" ht="12.95" customHeight="1">
      <c r="J70" s="172"/>
      <c r="K70" s="172"/>
    </row>
    <row r="71" spans="10:11">
      <c r="J71" s="172"/>
      <c r="K71" s="172"/>
    </row>
    <row r="72" spans="10:11">
      <c r="J72" s="172"/>
      <c r="K72" s="172"/>
    </row>
    <row r="73" spans="10:11">
      <c r="J73" s="172"/>
      <c r="K73" s="172"/>
    </row>
    <row r="74" spans="10:11">
      <c r="J74" s="172"/>
      <c r="K74" s="172"/>
    </row>
    <row r="75" spans="10:11">
      <c r="J75" s="172"/>
      <c r="K75" s="172"/>
    </row>
    <row r="76" spans="10:11">
      <c r="J76" s="172"/>
      <c r="K76" s="172"/>
    </row>
    <row r="77" spans="10:11">
      <c r="J77" s="172"/>
      <c r="K77" s="172"/>
    </row>
    <row r="78" spans="10:11">
      <c r="J78" s="172"/>
      <c r="K78" s="172"/>
    </row>
    <row r="79" spans="10:11">
      <c r="J79" s="172"/>
      <c r="K79" s="172"/>
    </row>
    <row r="80" spans="10:11">
      <c r="J80" s="172"/>
      <c r="K80" s="172"/>
    </row>
    <row r="81" spans="10:11" ht="12.95" customHeight="1">
      <c r="J81" s="172"/>
      <c r="K81" s="172"/>
    </row>
    <row r="82" spans="10:11">
      <c r="J82" s="172"/>
      <c r="K82" s="172"/>
    </row>
    <row r="83" spans="10:11">
      <c r="J83" s="172"/>
      <c r="K83" s="172"/>
    </row>
    <row r="84" spans="10:11">
      <c r="J84" s="172"/>
      <c r="K84" s="172"/>
    </row>
    <row r="85" spans="10:11">
      <c r="J85" s="172"/>
      <c r="K85" s="172"/>
    </row>
    <row r="86" spans="10:11">
      <c r="J86" s="172"/>
      <c r="K86" s="172"/>
    </row>
    <row r="87" spans="10:11">
      <c r="J87" s="172"/>
      <c r="K87" s="172"/>
    </row>
    <row r="88" spans="10:11">
      <c r="J88" s="172"/>
      <c r="K88" s="172"/>
    </row>
    <row r="89" spans="10:11">
      <c r="J89" s="172"/>
      <c r="K89" s="172"/>
    </row>
    <row r="90" spans="10:11">
      <c r="J90" s="172"/>
      <c r="K90" s="172"/>
    </row>
    <row r="91" spans="10:11">
      <c r="J91" s="172"/>
      <c r="K91" s="172"/>
    </row>
    <row r="92" spans="10:11" ht="12.95" customHeight="1">
      <c r="J92" s="172"/>
      <c r="K92" s="172"/>
    </row>
    <row r="93" spans="10:11">
      <c r="J93" s="172"/>
      <c r="K93" s="172"/>
    </row>
    <row r="94" spans="10:11">
      <c r="J94" s="172"/>
      <c r="K94" s="172"/>
    </row>
    <row r="95" spans="10:11">
      <c r="J95" s="172"/>
      <c r="K95" s="172"/>
    </row>
    <row r="96" spans="10:11">
      <c r="J96" s="172"/>
      <c r="K96" s="172"/>
    </row>
    <row r="97" spans="10:11">
      <c r="J97" s="172"/>
      <c r="K97" s="172"/>
    </row>
    <row r="98" spans="10:11">
      <c r="J98" s="172"/>
      <c r="K98" s="172"/>
    </row>
    <row r="99" spans="10:11">
      <c r="J99" s="172"/>
      <c r="K99" s="172"/>
    </row>
    <row r="100" spans="10:11">
      <c r="J100" s="172"/>
      <c r="K100" s="172"/>
    </row>
    <row r="101" spans="10:11">
      <c r="J101" s="172"/>
      <c r="K101" s="172"/>
    </row>
    <row r="102" spans="10:11">
      <c r="J102" s="172"/>
      <c r="K102" s="172"/>
    </row>
    <row r="103" spans="10:11">
      <c r="J103" s="172"/>
      <c r="K103" s="172"/>
    </row>
    <row r="104" spans="10:11">
      <c r="J104" s="172"/>
      <c r="K104" s="172"/>
    </row>
    <row r="105" spans="10:11">
      <c r="J105" s="172"/>
      <c r="K105" s="172"/>
    </row>
    <row r="106" spans="10:11">
      <c r="J106" s="172"/>
      <c r="K106" s="172"/>
    </row>
    <row r="107" spans="10:11">
      <c r="J107" s="172"/>
      <c r="K107" s="172"/>
    </row>
    <row r="108" spans="10:11">
      <c r="J108" s="172"/>
      <c r="K108" s="172"/>
    </row>
    <row r="109" spans="10:11">
      <c r="J109" s="172"/>
      <c r="K109" s="172"/>
    </row>
    <row r="110" spans="10:11">
      <c r="J110" s="172"/>
      <c r="K110" s="172"/>
    </row>
    <row r="111" spans="10:11">
      <c r="J111" s="172"/>
      <c r="K111" s="172"/>
    </row>
    <row r="112" spans="10:11">
      <c r="J112" s="172"/>
      <c r="K112" s="172"/>
    </row>
    <row r="113" spans="10:11">
      <c r="J113" s="172"/>
      <c r="K113" s="172"/>
    </row>
    <row r="114" spans="10:11">
      <c r="J114" s="172"/>
      <c r="K114" s="172"/>
    </row>
    <row r="115" spans="10:11">
      <c r="J115" s="172"/>
      <c r="K115" s="172"/>
    </row>
    <row r="116" spans="10:11">
      <c r="J116" s="172"/>
      <c r="K116" s="172"/>
    </row>
    <row r="117" spans="10:11">
      <c r="J117" s="172"/>
      <c r="K117" s="172"/>
    </row>
  </sheetData>
  <mergeCells count="6">
    <mergeCell ref="G3:H3"/>
    <mergeCell ref="B2:E2"/>
    <mergeCell ref="C1:D1"/>
    <mergeCell ref="G1:H1"/>
    <mergeCell ref="G2:H2"/>
    <mergeCell ref="C3:D3"/>
  </mergeCells>
  <phoneticPr fontId="14" type="noConversion"/>
  <dataValidations xWindow="710" yWindow="99" count="1">
    <dataValidation type="list" allowBlank="1" showInputMessage="1" showErrorMessage="1" errorTitle="ERROR" error="Debe seleccionar un elemento de  la lista. No es posible ingresar cualquier valor." prompt="Antes de desplegar la lista elija el SEXO." sqref="C1:D1" xr:uid="{00000000-0002-0000-0000-000000000000}">
      <formula1>IF($I$2=1,#REF!,#REF!)</formula1>
    </dataValidation>
  </dataValidations>
  <pageMargins left="0.59055118110236227" right="0.75" top="1.1811023622047245" bottom="1" header="0.39370078740157483" footer="0"/>
  <pageSetup scale="82" orientation="portrait" horizontalDpi="300" verticalDpi="300"/>
  <headerFooter>
    <oddHeader>&amp;C&amp;"Courier New,Negrita"&amp;14Informe de Composición Corporal</oddHeader>
    <oddFooter>&amp;C&amp;"Courier New,Negrita"Francis Holway_x000D_ Nutrición Deportiva</oddFooter>
  </headerFooter>
  <colBreaks count="1" manualBreakCount="1">
    <brk id="9" max="101" man="1"/>
  </colBreak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</sheetPr>
  <dimension ref="A1:M134"/>
  <sheetViews>
    <sheetView view="pageLayout" topLeftCell="B77" zoomScaleNormal="150" workbookViewId="0">
      <selection activeCell="F35" sqref="F35"/>
    </sheetView>
  </sheetViews>
  <sheetFormatPr defaultColWidth="10.7109375" defaultRowHeight="12.75"/>
  <cols>
    <col min="1" max="2" width="10.140625" customWidth="1"/>
    <col min="3" max="3" width="9.42578125" customWidth="1"/>
    <col min="4" max="4" width="9.28515625" customWidth="1"/>
    <col min="5" max="5" width="10" customWidth="1"/>
    <col min="6" max="6" width="10.140625" customWidth="1"/>
    <col min="7" max="7" width="7.140625" customWidth="1"/>
    <col min="8" max="8" width="6.7109375" customWidth="1"/>
    <col min="9" max="9" width="6.140625" customWidth="1"/>
    <col min="10" max="10" width="10.7109375" customWidth="1"/>
    <col min="11" max="11" width="10.140625" customWidth="1"/>
    <col min="14" max="14" width="19.42578125" customWidth="1"/>
    <col min="15" max="16" width="6.42578125" customWidth="1"/>
    <col min="18" max="18" width="6.42578125" bestFit="1" customWidth="1"/>
    <col min="19" max="19" width="3.28515625" customWidth="1"/>
  </cols>
  <sheetData>
    <row r="1" spans="1:13" ht="78.75" customHeight="1">
      <c r="A1" s="163" t="s">
        <v>52</v>
      </c>
      <c r="B1" s="164"/>
      <c r="C1" s="164"/>
      <c r="D1" s="164"/>
      <c r="E1" s="164"/>
      <c r="F1" s="164"/>
      <c r="G1" s="164"/>
      <c r="H1" s="165"/>
      <c r="I1" s="166" t="s">
        <v>53</v>
      </c>
      <c r="J1" s="166"/>
      <c r="K1" s="166"/>
      <c r="L1" s="21"/>
      <c r="M1" s="21"/>
    </row>
    <row r="2" spans="1:13">
      <c r="A2" s="22"/>
      <c r="B2" s="21"/>
      <c r="C2" s="21"/>
      <c r="D2" s="21"/>
      <c r="E2" s="21"/>
      <c r="F2" s="21"/>
      <c r="G2" s="21"/>
      <c r="H2" s="21"/>
      <c r="I2" s="21"/>
      <c r="J2" s="21"/>
      <c r="K2" s="23"/>
      <c r="L2" s="21"/>
      <c r="M2" s="21"/>
    </row>
    <row r="3" spans="1:13" ht="15.75">
      <c r="A3" s="22"/>
      <c r="B3" s="21"/>
      <c r="C3" s="24" t="s">
        <v>0</v>
      </c>
      <c r="D3" s="137" t="str">
        <f>'HOJA DE TRABAJO'!B2</f>
        <v>Leandro Ceballos</v>
      </c>
      <c r="E3" s="137"/>
      <c r="F3" s="137"/>
      <c r="G3" s="138"/>
      <c r="H3" s="24" t="s">
        <v>54</v>
      </c>
      <c r="I3" s="25">
        <f>'HOJA DE TRABAJO'!I3</f>
        <v>38</v>
      </c>
      <c r="J3" s="21"/>
      <c r="K3" s="23"/>
      <c r="L3" s="21"/>
      <c r="M3" s="21"/>
    </row>
    <row r="4" spans="1:13">
      <c r="A4" s="22"/>
      <c r="B4" s="21"/>
      <c r="C4" s="21"/>
      <c r="D4" s="21"/>
      <c r="E4" s="21"/>
      <c r="F4" s="21"/>
      <c r="G4" s="21"/>
      <c r="H4" s="21"/>
      <c r="I4" s="21"/>
      <c r="J4" s="21"/>
      <c r="K4" s="23"/>
      <c r="L4" s="21"/>
      <c r="M4" s="21"/>
    </row>
    <row r="5" spans="1:13" ht="14.25">
      <c r="A5" s="22"/>
      <c r="B5" s="21"/>
      <c r="C5" s="139" t="s">
        <v>55</v>
      </c>
      <c r="D5" s="140"/>
      <c r="E5" s="26">
        <v>1</v>
      </c>
      <c r="F5" s="139" t="s">
        <v>56</v>
      </c>
      <c r="G5" s="140"/>
      <c r="H5" s="141">
        <f>'HOJA DE TRABAJO'!B3</f>
        <v>44664</v>
      </c>
      <c r="I5" s="142"/>
      <c r="J5" s="21"/>
      <c r="K5" s="23"/>
      <c r="L5" s="21"/>
      <c r="M5" s="21"/>
    </row>
    <row r="6" spans="1:13">
      <c r="A6" s="22"/>
      <c r="B6" s="21"/>
      <c r="C6" s="21"/>
      <c r="D6" s="21"/>
      <c r="E6" s="21"/>
      <c r="F6" s="21"/>
      <c r="G6" s="21"/>
      <c r="H6" s="21"/>
      <c r="I6" s="21"/>
      <c r="J6" s="21"/>
      <c r="K6" s="23"/>
      <c r="L6" s="21"/>
      <c r="M6" s="21"/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9"/>
      <c r="L7" s="21"/>
      <c r="M7" s="21"/>
    </row>
    <row r="8" spans="1:13" ht="25.5">
      <c r="A8" s="30"/>
      <c r="B8" s="31"/>
      <c r="C8" s="31"/>
      <c r="D8" s="31"/>
      <c r="E8" s="32" t="s">
        <v>57</v>
      </c>
      <c r="F8" s="33" t="s">
        <v>58</v>
      </c>
      <c r="G8" s="167"/>
      <c r="H8" s="167"/>
      <c r="I8" s="34"/>
      <c r="J8" s="34"/>
      <c r="K8" s="35"/>
      <c r="L8" s="2" t="s">
        <v>59</v>
      </c>
      <c r="M8" s="21"/>
    </row>
    <row r="9" spans="1:13">
      <c r="A9" s="22"/>
      <c r="B9" s="21"/>
      <c r="C9" s="21"/>
      <c r="D9" s="21"/>
      <c r="E9" s="36"/>
      <c r="F9" s="37"/>
      <c r="G9" s="38"/>
      <c r="H9" s="38"/>
      <c r="I9" s="38"/>
      <c r="J9" s="38"/>
      <c r="K9" s="39"/>
      <c r="L9" s="2"/>
      <c r="M9" s="21"/>
    </row>
    <row r="10" spans="1:13" ht="19.5" customHeight="1">
      <c r="A10" s="40"/>
      <c r="B10" s="109" t="s">
        <v>60</v>
      </c>
      <c r="C10" s="110"/>
      <c r="D10" s="110"/>
      <c r="E10" s="111">
        <v>65.599999999999994</v>
      </c>
      <c r="F10" s="112"/>
      <c r="G10" s="41"/>
      <c r="H10" s="41"/>
      <c r="I10" s="42"/>
      <c r="J10" s="42"/>
      <c r="K10" s="43"/>
      <c r="L10" s="2">
        <v>3</v>
      </c>
      <c r="M10" s="2">
        <v>2</v>
      </c>
    </row>
    <row r="11" spans="1:13" ht="19.5" customHeight="1">
      <c r="A11" s="44"/>
      <c r="B11" s="113" t="s">
        <v>61</v>
      </c>
      <c r="C11" s="114"/>
      <c r="D11" s="114"/>
      <c r="E11" s="115">
        <v>178</v>
      </c>
      <c r="F11" s="116"/>
      <c r="G11" s="45"/>
      <c r="H11" s="45"/>
      <c r="I11" s="46"/>
      <c r="J11" s="46"/>
      <c r="K11" s="47"/>
      <c r="L11" s="2"/>
      <c r="M11" s="2"/>
    </row>
    <row r="12" spans="1:13" ht="19.5" customHeight="1">
      <c r="A12" s="48"/>
      <c r="B12" s="113" t="s">
        <v>18</v>
      </c>
      <c r="C12" s="114"/>
      <c r="D12" s="114"/>
      <c r="E12" s="115">
        <f>'HOJA DE TRABAJO'!G9</f>
        <v>6</v>
      </c>
      <c r="F12" s="116"/>
      <c r="G12" s="49"/>
      <c r="H12" s="49"/>
      <c r="I12" s="50"/>
      <c r="J12" s="50"/>
      <c r="K12" s="51"/>
      <c r="L12" s="2">
        <v>2</v>
      </c>
      <c r="M12" s="2">
        <v>1</v>
      </c>
    </row>
    <row r="13" spans="1:13" ht="19.5" customHeight="1">
      <c r="A13" s="52"/>
      <c r="B13" s="117" t="s">
        <v>19</v>
      </c>
      <c r="C13" s="118"/>
      <c r="D13" s="118"/>
      <c r="E13" s="119">
        <f>'HOJA DE TRABAJO'!G10</f>
        <v>10.3</v>
      </c>
      <c r="F13" s="120"/>
      <c r="G13" s="53"/>
      <c r="H13" s="53"/>
      <c r="I13" s="54"/>
      <c r="J13" s="54"/>
      <c r="K13" s="55"/>
      <c r="L13" s="2"/>
      <c r="M13" s="2"/>
    </row>
    <row r="14" spans="1:13" ht="19.5" customHeight="1">
      <c r="A14" s="40"/>
      <c r="B14" s="113" t="s">
        <v>21</v>
      </c>
      <c r="C14" s="114"/>
      <c r="D14" s="114"/>
      <c r="E14" s="115">
        <f>'HOJA DE TRABAJO'!G12</f>
        <v>28</v>
      </c>
      <c r="F14" s="116"/>
      <c r="G14" s="45"/>
      <c r="H14" s="45"/>
      <c r="I14" s="46"/>
      <c r="J14" s="46"/>
      <c r="K14" s="47"/>
      <c r="L14" s="21"/>
      <c r="M14" s="2">
        <v>6</v>
      </c>
    </row>
    <row r="15" spans="1:13" ht="19.5" customHeight="1">
      <c r="A15" s="19"/>
      <c r="B15" s="113" t="s">
        <v>22</v>
      </c>
      <c r="C15" s="114"/>
      <c r="D15" s="114"/>
      <c r="E15" s="115">
        <f>'HOJA DE TRABAJO'!G13</f>
        <v>30</v>
      </c>
      <c r="F15" s="116"/>
      <c r="G15" s="45"/>
      <c r="H15" s="45"/>
      <c r="I15" s="46"/>
      <c r="J15" s="46"/>
      <c r="K15" s="47"/>
      <c r="L15" s="21"/>
      <c r="M15" s="2">
        <v>5</v>
      </c>
    </row>
    <row r="16" spans="1:13" ht="19.5" customHeight="1">
      <c r="A16" s="19"/>
      <c r="B16" s="113" t="s">
        <v>23</v>
      </c>
      <c r="C16" s="114"/>
      <c r="D16" s="114"/>
      <c r="E16" s="115">
        <f>'HOJA DE TRABAJO'!G14</f>
        <v>72.5</v>
      </c>
      <c r="F16" s="116"/>
      <c r="G16" s="45"/>
      <c r="H16" s="45"/>
      <c r="I16" s="46"/>
      <c r="J16" s="46"/>
      <c r="K16" s="47"/>
      <c r="L16" s="21"/>
      <c r="M16" s="2">
        <v>4</v>
      </c>
    </row>
    <row r="17" spans="1:13" ht="19.5" customHeight="1">
      <c r="A17" s="19"/>
      <c r="B17" s="113" t="s">
        <v>62</v>
      </c>
      <c r="C17" s="114"/>
      <c r="D17" s="114"/>
      <c r="E17" s="115">
        <f>'HOJA DE TRABAJO'!G15</f>
        <v>93.3</v>
      </c>
      <c r="F17" s="116"/>
      <c r="G17" s="45"/>
      <c r="H17" s="45"/>
      <c r="I17" s="46"/>
      <c r="J17" s="46"/>
      <c r="K17" s="47"/>
      <c r="L17" s="21"/>
      <c r="M17" s="2">
        <v>3</v>
      </c>
    </row>
    <row r="18" spans="1:13" ht="19.5" customHeight="1">
      <c r="A18" s="20"/>
      <c r="B18" s="117" t="s">
        <v>25</v>
      </c>
      <c r="C18" s="118"/>
      <c r="D18" s="118"/>
      <c r="E18" s="119">
        <f>'HOJA DE TRABAJO'!G16</f>
        <v>34.5</v>
      </c>
      <c r="F18" s="120"/>
      <c r="G18" s="56"/>
      <c r="H18" s="56"/>
      <c r="I18" s="57"/>
      <c r="J18" s="57"/>
      <c r="K18" s="58"/>
      <c r="L18" s="21"/>
      <c r="M18" s="2">
        <v>2</v>
      </c>
    </row>
    <row r="19" spans="1:13" ht="19.5" customHeight="1">
      <c r="A19" s="48"/>
      <c r="B19" s="109" t="s">
        <v>63</v>
      </c>
      <c r="C19" s="110"/>
      <c r="D19" s="110"/>
      <c r="E19" s="111">
        <f>'HOJA DE TRABAJO'!G18</f>
        <v>7.75</v>
      </c>
      <c r="F19" s="112"/>
      <c r="G19" s="59"/>
      <c r="H19" s="59"/>
      <c r="I19" s="60"/>
      <c r="J19" s="60"/>
      <c r="K19" s="61"/>
      <c r="L19" s="21"/>
      <c r="M19" s="2">
        <v>1</v>
      </c>
    </row>
    <row r="20" spans="1:13" ht="19.5" customHeight="1">
      <c r="A20" s="62"/>
      <c r="B20" s="113" t="s">
        <v>64</v>
      </c>
      <c r="C20" s="114"/>
      <c r="D20" s="114"/>
      <c r="E20" s="115">
        <f>'HOJA DE TRABAJO'!G19</f>
        <v>5.25</v>
      </c>
      <c r="F20" s="116"/>
      <c r="G20" s="49"/>
      <c r="H20" s="49"/>
      <c r="I20" s="50"/>
      <c r="J20" s="50"/>
      <c r="K20" s="51"/>
      <c r="L20" s="21"/>
      <c r="M20" s="2"/>
    </row>
    <row r="21" spans="1:13" ht="19.5" customHeight="1">
      <c r="A21" s="62"/>
      <c r="B21" s="113" t="s">
        <v>29</v>
      </c>
      <c r="C21" s="114"/>
      <c r="D21" s="114"/>
      <c r="E21" s="115">
        <f>'HOJA DE TRABAJO'!G20</f>
        <v>1.5</v>
      </c>
      <c r="F21" s="116"/>
      <c r="G21" s="49"/>
      <c r="H21" s="49"/>
      <c r="I21" s="50"/>
      <c r="J21" s="50"/>
      <c r="K21" s="51"/>
      <c r="L21" s="21"/>
      <c r="M21" s="2">
        <v>10</v>
      </c>
    </row>
    <row r="22" spans="1:13" ht="19.5" customHeight="1">
      <c r="A22" s="62"/>
      <c r="B22" s="113" t="s">
        <v>65</v>
      </c>
      <c r="C22" s="114"/>
      <c r="D22" s="114"/>
      <c r="E22" s="115">
        <f>'HOJA DE TRABAJO'!G21</f>
        <v>7.1</v>
      </c>
      <c r="F22" s="116"/>
      <c r="G22" s="49"/>
      <c r="H22" s="49"/>
      <c r="I22" s="50"/>
      <c r="J22" s="50"/>
      <c r="K22" s="51"/>
      <c r="L22" s="21"/>
      <c r="M22" s="2">
        <v>9</v>
      </c>
    </row>
    <row r="23" spans="1:13" ht="19.5" customHeight="1">
      <c r="A23" s="62"/>
      <c r="B23" s="113" t="s">
        <v>31</v>
      </c>
      <c r="C23" s="114"/>
      <c r="D23" s="114"/>
      <c r="E23" s="115">
        <f>'HOJA DE TRABAJO'!G22</f>
        <v>4.5</v>
      </c>
      <c r="F23" s="116"/>
      <c r="G23" s="49"/>
      <c r="H23" s="49"/>
      <c r="I23" s="50"/>
      <c r="J23" s="50"/>
      <c r="K23" s="51"/>
      <c r="L23" s="21"/>
      <c r="M23" s="2">
        <v>8</v>
      </c>
    </row>
    <row r="24" spans="1:13" ht="19.5" customHeight="1">
      <c r="A24" s="62"/>
      <c r="B24" s="113" t="s">
        <v>32</v>
      </c>
      <c r="C24" s="114"/>
      <c r="D24" s="114"/>
      <c r="E24" s="115">
        <f>'HOJA DE TRABAJO'!G23</f>
        <v>13</v>
      </c>
      <c r="F24" s="116"/>
      <c r="G24" s="49"/>
      <c r="H24" s="49"/>
      <c r="I24" s="50"/>
      <c r="J24" s="50"/>
      <c r="K24" s="51"/>
      <c r="L24" s="2">
        <v>9</v>
      </c>
      <c r="M24" s="2">
        <v>7</v>
      </c>
    </row>
    <row r="25" spans="1:13" ht="19.5" customHeight="1">
      <c r="A25" s="62"/>
      <c r="B25" s="113" t="s">
        <v>66</v>
      </c>
      <c r="C25" s="114"/>
      <c r="D25" s="114"/>
      <c r="E25" s="115">
        <f>'HOJA DE TRABAJO'!G24</f>
        <v>14</v>
      </c>
      <c r="F25" s="116"/>
      <c r="G25" s="49"/>
      <c r="H25" s="49"/>
      <c r="I25" s="50"/>
      <c r="J25" s="50"/>
      <c r="K25" s="51"/>
      <c r="L25" s="2">
        <v>8</v>
      </c>
      <c r="M25" s="2">
        <v>6</v>
      </c>
    </row>
    <row r="26" spans="1:13" ht="19.5" customHeight="1">
      <c r="A26" s="52"/>
      <c r="B26" s="117" t="s">
        <v>67</v>
      </c>
      <c r="C26" s="118"/>
      <c r="D26" s="118"/>
      <c r="E26" s="119">
        <f>'HOJA DE TRABAJO'!G25</f>
        <v>6</v>
      </c>
      <c r="F26" s="120"/>
      <c r="G26" s="53"/>
      <c r="H26" s="53"/>
      <c r="I26" s="54"/>
      <c r="J26" s="54"/>
      <c r="K26" s="55"/>
      <c r="L26" s="2">
        <v>7</v>
      </c>
      <c r="M26" s="2">
        <v>5</v>
      </c>
    </row>
    <row r="27" spans="1:13" ht="19.5" customHeight="1">
      <c r="A27" s="22"/>
      <c r="B27" s="21"/>
      <c r="C27" s="21"/>
      <c r="D27" s="21"/>
      <c r="E27" s="21"/>
      <c r="F27" s="21"/>
      <c r="G27" s="21"/>
      <c r="H27" s="21"/>
      <c r="I27" s="21"/>
      <c r="J27" s="21"/>
      <c r="K27" s="23"/>
      <c r="L27" s="21"/>
      <c r="M27" s="2">
        <v>6</v>
      </c>
    </row>
    <row r="28" spans="1:13" ht="19.5" customHeight="1">
      <c r="A28" s="22"/>
      <c r="B28" s="107" t="s">
        <v>68</v>
      </c>
      <c r="C28" s="21"/>
      <c r="D28" s="21"/>
      <c r="E28" s="21"/>
      <c r="F28" s="21"/>
      <c r="G28" s="21"/>
      <c r="H28" s="21"/>
      <c r="I28" s="21"/>
      <c r="J28" s="21"/>
      <c r="K28" s="23"/>
      <c r="L28" s="21"/>
      <c r="M28" s="2"/>
    </row>
    <row r="29" spans="1:13" ht="19.5" customHeight="1">
      <c r="A29" s="160"/>
      <c r="B29" s="106" t="s">
        <v>69</v>
      </c>
      <c r="C29" s="28" t="s">
        <v>70</v>
      </c>
      <c r="E29" s="121">
        <f>E10/(E11*0.01)^2</f>
        <v>20.704456508016662</v>
      </c>
      <c r="F29" s="28"/>
      <c r="G29" s="28"/>
      <c r="H29" s="28"/>
      <c r="I29" s="28"/>
      <c r="J29" s="28"/>
      <c r="K29" s="156"/>
      <c r="L29" s="2">
        <v>14</v>
      </c>
      <c r="M29" s="2">
        <v>5</v>
      </c>
    </row>
    <row r="30" spans="1:13" ht="19.5" customHeight="1">
      <c r="A30" s="161"/>
      <c r="B30" s="107" t="s">
        <v>71</v>
      </c>
      <c r="C30" s="21"/>
      <c r="E30" s="122">
        <f>E16/E17</f>
        <v>0.77706323687031087</v>
      </c>
      <c r="F30" s="21"/>
      <c r="G30" s="21"/>
      <c r="H30" s="21"/>
      <c r="I30" s="21"/>
      <c r="J30" s="21"/>
      <c r="K30" s="157"/>
      <c r="L30" s="2"/>
      <c r="M30" s="2"/>
    </row>
    <row r="31" spans="1:13" ht="19.5" customHeight="1">
      <c r="A31" s="161"/>
      <c r="B31" s="107" t="s">
        <v>72</v>
      </c>
      <c r="C31" s="21" t="s">
        <v>73</v>
      </c>
      <c r="E31" s="122">
        <f>E19+E20+E23+E24+E25+E26</f>
        <v>50.5</v>
      </c>
      <c r="F31" s="21"/>
      <c r="G31" s="21"/>
      <c r="H31" s="21"/>
      <c r="I31" s="21"/>
      <c r="J31" s="21"/>
      <c r="K31" s="157"/>
      <c r="L31" s="2"/>
      <c r="M31" s="2"/>
    </row>
    <row r="32" spans="1:13" ht="19.5" customHeight="1">
      <c r="A32" s="161"/>
      <c r="B32" s="107" t="s">
        <v>74</v>
      </c>
      <c r="C32" s="21" t="s">
        <v>75</v>
      </c>
      <c r="E32" s="122">
        <f>IF('HOJA DE TRABAJO'!I2=1,+'HOJA DE TRABAJO'!C42,+'HOJA DE TRABAJO'!D42)</f>
        <v>16.907795955112078</v>
      </c>
      <c r="F32" s="21"/>
      <c r="G32" s="21"/>
      <c r="H32" s="21"/>
      <c r="I32" s="21"/>
      <c r="J32" s="21"/>
      <c r="K32" s="157"/>
      <c r="L32" s="2"/>
      <c r="M32" s="2">
        <v>4</v>
      </c>
    </row>
    <row r="33" spans="1:13" ht="19.5" customHeight="1">
      <c r="A33" s="161"/>
      <c r="B33" s="107" t="s">
        <v>76</v>
      </c>
      <c r="C33" s="21" t="s">
        <v>77</v>
      </c>
      <c r="E33" s="122">
        <f>E10*E32/100</f>
        <v>11.091514146553523</v>
      </c>
      <c r="F33" s="21"/>
      <c r="G33" s="21"/>
      <c r="H33" s="21"/>
      <c r="I33" s="21"/>
      <c r="J33" s="21"/>
      <c r="K33" s="157"/>
      <c r="L33" s="2">
        <v>12</v>
      </c>
      <c r="M33" s="2">
        <v>3</v>
      </c>
    </row>
    <row r="34" spans="1:13" ht="18.95" customHeight="1">
      <c r="A34" s="161"/>
      <c r="B34" s="107" t="s">
        <v>78</v>
      </c>
      <c r="C34" s="21" t="s">
        <v>77</v>
      </c>
      <c r="E34" s="122">
        <f>E10-E33</f>
        <v>54.508485853446473</v>
      </c>
      <c r="F34" s="21"/>
      <c r="G34" s="21"/>
      <c r="H34" s="21"/>
      <c r="I34" s="21"/>
      <c r="J34" s="21"/>
      <c r="K34" s="157"/>
      <c r="L34" s="2">
        <v>10</v>
      </c>
      <c r="M34" s="2">
        <v>2</v>
      </c>
    </row>
    <row r="35" spans="1:13" ht="19.5" customHeight="1">
      <c r="A35" s="161"/>
      <c r="B35" s="21"/>
      <c r="C35" s="21"/>
      <c r="D35" s="21"/>
      <c r="E35" s="123"/>
      <c r="F35" s="21"/>
      <c r="G35" s="21"/>
      <c r="H35" s="21"/>
      <c r="I35" s="21"/>
      <c r="J35" s="21"/>
      <c r="K35" s="157"/>
      <c r="L35" s="2"/>
      <c r="M35" s="2">
        <v>1</v>
      </c>
    </row>
    <row r="36" spans="1:13" ht="18.95" customHeight="1">
      <c r="A36" s="161"/>
      <c r="B36" s="107" t="s">
        <v>74</v>
      </c>
      <c r="C36" s="21" t="s">
        <v>79</v>
      </c>
      <c r="D36" s="21"/>
      <c r="E36" s="122">
        <f>IF('HOJA DE TRABAJO'!I2=1,+'HOJA DE TRABAJO'!C44,+'HOJA DE TRABAJO'!D44)</f>
        <v>11.4748</v>
      </c>
      <c r="F36" s="21"/>
      <c r="G36" s="21"/>
      <c r="H36" s="21"/>
      <c r="I36" s="21"/>
      <c r="J36" s="21"/>
      <c r="K36" s="157"/>
      <c r="L36" s="2">
        <v>7</v>
      </c>
      <c r="M36" s="21"/>
    </row>
    <row r="37" spans="1:13" ht="18.95" customHeight="1">
      <c r="A37" s="161"/>
      <c r="B37" s="107" t="s">
        <v>76</v>
      </c>
      <c r="C37" s="21" t="s">
        <v>77</v>
      </c>
      <c r="D37" s="21"/>
      <c r="E37" s="122">
        <f>E10*E36/100</f>
        <v>7.5274687999999994</v>
      </c>
      <c r="F37" s="21"/>
      <c r="G37" s="21"/>
      <c r="H37" s="21"/>
      <c r="I37" s="21"/>
      <c r="J37" s="21"/>
      <c r="K37" s="157"/>
      <c r="L37" s="2">
        <v>6</v>
      </c>
      <c r="M37" s="21"/>
    </row>
    <row r="38" spans="1:13" ht="18.95" customHeight="1">
      <c r="A38" s="161"/>
      <c r="B38" s="107" t="s">
        <v>78</v>
      </c>
      <c r="C38" s="21" t="s">
        <v>77</v>
      </c>
      <c r="D38" s="21"/>
      <c r="E38" s="122">
        <f>E10-E37</f>
        <v>58.072531199999993</v>
      </c>
      <c r="F38" s="21"/>
      <c r="G38" s="21"/>
      <c r="H38" s="21"/>
      <c r="I38" s="21"/>
      <c r="J38" s="21"/>
      <c r="K38" s="157"/>
      <c r="L38" s="2">
        <v>5</v>
      </c>
      <c r="M38" s="21"/>
    </row>
    <row r="39" spans="1:13" ht="13.5" customHeight="1">
      <c r="A39" s="161"/>
      <c r="B39" s="21"/>
      <c r="C39" s="21"/>
      <c r="D39" s="21"/>
      <c r="E39" s="123"/>
      <c r="F39" s="21"/>
      <c r="G39" s="21"/>
      <c r="H39" s="21"/>
      <c r="I39" s="21"/>
      <c r="J39" s="21"/>
      <c r="K39" s="157"/>
      <c r="L39" s="2">
        <v>4</v>
      </c>
      <c r="M39" s="21"/>
    </row>
    <row r="40" spans="1:13" ht="13.5" customHeight="1">
      <c r="A40" s="161"/>
      <c r="B40" s="107" t="s">
        <v>80</v>
      </c>
      <c r="C40" s="21"/>
      <c r="D40" s="21"/>
      <c r="E40" s="124">
        <f>'HOJA DE TRABAJO'!B46</f>
        <v>5172.2782165605086</v>
      </c>
      <c r="F40" s="21"/>
      <c r="G40" s="21"/>
      <c r="H40" s="21"/>
      <c r="I40" s="21"/>
      <c r="J40" s="21"/>
      <c r="K40" s="157"/>
      <c r="L40" s="2">
        <v>3</v>
      </c>
      <c r="M40" s="21"/>
    </row>
    <row r="41" spans="1:13" ht="13.5" customHeight="1">
      <c r="A41" s="161"/>
      <c r="B41" s="21"/>
      <c r="C41" s="21"/>
      <c r="D41" s="21"/>
      <c r="E41" s="21"/>
      <c r="F41" s="21"/>
      <c r="G41" s="21"/>
      <c r="H41" s="21"/>
      <c r="I41" s="21"/>
      <c r="J41" s="21"/>
      <c r="K41" s="157"/>
      <c r="L41" s="2">
        <v>2</v>
      </c>
      <c r="M41" s="21"/>
    </row>
    <row r="42" spans="1:13" ht="13.5" customHeight="1">
      <c r="A42" s="162"/>
      <c r="B42" s="31"/>
      <c r="C42" s="31"/>
      <c r="D42" s="31"/>
      <c r="E42" s="31"/>
      <c r="F42" s="31"/>
      <c r="G42" s="31"/>
      <c r="H42" s="31"/>
      <c r="I42" s="31"/>
      <c r="J42" s="31"/>
      <c r="K42" s="158"/>
      <c r="L42" s="2"/>
      <c r="M42" s="21"/>
    </row>
    <row r="43" spans="1:13">
      <c r="A43" s="63"/>
      <c r="B43" s="64"/>
      <c r="C43" s="64"/>
      <c r="D43" s="64"/>
      <c r="E43" s="65"/>
      <c r="F43" s="64"/>
      <c r="G43" s="159"/>
      <c r="H43" s="159"/>
      <c r="I43" s="66"/>
      <c r="J43" s="64"/>
      <c r="K43" s="67"/>
      <c r="L43" s="2"/>
      <c r="M43" s="21"/>
    </row>
    <row r="44" spans="1:13" ht="23.25">
      <c r="A44" s="163" t="s">
        <v>81</v>
      </c>
      <c r="B44" s="164"/>
      <c r="C44" s="164"/>
      <c r="D44" s="164"/>
      <c r="E44" s="164"/>
      <c r="F44" s="164"/>
      <c r="G44" s="164"/>
      <c r="H44" s="165"/>
      <c r="I44" s="166" t="s">
        <v>82</v>
      </c>
      <c r="J44" s="166"/>
      <c r="K44" s="166"/>
      <c r="L44" s="21"/>
      <c r="M44" s="21"/>
    </row>
    <row r="45" spans="1:13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9"/>
      <c r="L45" s="21"/>
      <c r="M45" s="21"/>
    </row>
    <row r="46" spans="1:13" ht="15.75">
      <c r="A46" s="22"/>
      <c r="B46" s="21"/>
      <c r="C46" s="24" t="s">
        <v>0</v>
      </c>
      <c r="D46" s="137" t="str">
        <f>'HOJA DE TRABAJO'!B2</f>
        <v>Leandro Ceballos</v>
      </c>
      <c r="E46" s="137"/>
      <c r="F46" s="137"/>
      <c r="G46" s="138"/>
      <c r="H46" s="24" t="s">
        <v>54</v>
      </c>
      <c r="I46" s="68">
        <f>'HOJA DE TRABAJO'!I3</f>
        <v>38</v>
      </c>
      <c r="J46" s="21"/>
      <c r="K46" s="23"/>
      <c r="L46" s="21"/>
      <c r="M46" s="21"/>
    </row>
    <row r="47" spans="1:13">
      <c r="A47" s="22"/>
      <c r="B47" s="21"/>
      <c r="C47" s="21"/>
      <c r="D47" s="21"/>
      <c r="E47" s="21"/>
      <c r="F47" s="21"/>
      <c r="G47" s="21"/>
      <c r="H47" s="21"/>
      <c r="I47" s="21"/>
      <c r="J47" s="21"/>
      <c r="K47" s="23"/>
      <c r="L47" s="21"/>
      <c r="M47" s="21"/>
    </row>
    <row r="48" spans="1:13" ht="14.25">
      <c r="A48" s="22"/>
      <c r="B48" s="21"/>
      <c r="C48" s="139" t="s">
        <v>55</v>
      </c>
      <c r="D48" s="140"/>
      <c r="E48" s="26">
        <f>'HOJA DE TRABAJO'!I1</f>
        <v>0</v>
      </c>
      <c r="F48" s="139" t="s">
        <v>56</v>
      </c>
      <c r="G48" s="140"/>
      <c r="H48" s="141">
        <f>'HOJA DE TRABAJO'!B3</f>
        <v>44664</v>
      </c>
      <c r="I48" s="142"/>
      <c r="J48" s="21"/>
      <c r="K48" s="23"/>
      <c r="L48" s="21"/>
      <c r="M48" s="21"/>
    </row>
    <row r="49" spans="1:13" ht="14.25">
      <c r="A49" s="30"/>
      <c r="B49" s="31"/>
      <c r="C49" s="69"/>
      <c r="D49" s="69"/>
      <c r="E49" s="70"/>
      <c r="F49" s="69"/>
      <c r="G49" s="69"/>
      <c r="H49" s="71"/>
      <c r="I49" s="71"/>
      <c r="J49" s="31"/>
      <c r="K49" s="72"/>
      <c r="L49" s="21"/>
      <c r="M49" s="21"/>
    </row>
    <row r="50" spans="1:13" hidden="1">
      <c r="A50" s="3" t="s">
        <v>83</v>
      </c>
      <c r="B50" s="4"/>
      <c r="C50" s="5">
        <f>SUM(E19,E20,E23)</f>
        <v>17.5</v>
      </c>
      <c r="D50" s="6" t="s">
        <v>84</v>
      </c>
      <c r="E50" s="21"/>
      <c r="F50" s="6">
        <f>E15-E19/10</f>
        <v>29.225000000000001</v>
      </c>
      <c r="G50" s="7" t="s">
        <v>85</v>
      </c>
      <c r="H50" s="7"/>
      <c r="I50" s="8">
        <f>E10^0.33333</f>
        <v>4.0330031087980993</v>
      </c>
      <c r="J50" s="21"/>
      <c r="K50" s="23"/>
      <c r="L50" s="21"/>
      <c r="M50" s="21"/>
    </row>
    <row r="51" spans="1:13" hidden="1">
      <c r="A51" s="3" t="s">
        <v>86</v>
      </c>
      <c r="B51" s="4"/>
      <c r="C51" s="5">
        <f>170.18/E11</f>
        <v>0.95606741573033716</v>
      </c>
      <c r="D51" s="6" t="s">
        <v>87</v>
      </c>
      <c r="E51" s="21"/>
      <c r="F51" s="6">
        <f>E18-E26/10</f>
        <v>33.9</v>
      </c>
      <c r="G51" s="7" t="s">
        <v>88</v>
      </c>
      <c r="H51" s="21"/>
      <c r="I51" s="7">
        <f>E11/I50</f>
        <v>44.135844976585425</v>
      </c>
      <c r="J51" s="21"/>
      <c r="K51" s="23"/>
      <c r="L51" s="21"/>
      <c r="M51" s="21"/>
    </row>
    <row r="52" spans="1:13" hidden="1">
      <c r="A52" s="3" t="s">
        <v>89</v>
      </c>
      <c r="B52" s="4"/>
      <c r="C52" s="5">
        <f>C50*C51</f>
        <v>16.7311797752809</v>
      </c>
      <c r="D52" s="21"/>
      <c r="E52" s="21"/>
      <c r="F52" s="21"/>
      <c r="G52" s="21"/>
      <c r="H52" s="21"/>
      <c r="I52" s="21"/>
      <c r="J52" s="21"/>
      <c r="K52" s="23"/>
      <c r="L52" s="21"/>
      <c r="M52" s="21"/>
    </row>
    <row r="53" spans="1:13" hidden="1">
      <c r="A53" s="73" t="s">
        <v>90</v>
      </c>
      <c r="B53" s="74"/>
      <c r="C53" s="75">
        <f>-0.7182+(0.1451*C52)-(0.00068*(C52^2))+(0.0000014*(C52^3))</f>
        <v>1.5256972077424233</v>
      </c>
      <c r="D53" s="76" t="s">
        <v>91</v>
      </c>
      <c r="E53" s="77"/>
      <c r="F53" s="78">
        <f>0.858*E12+0.601*E13+0.188*F50+0.161*F51-E11*0.131+4.5</f>
        <v>3.4724999999999966</v>
      </c>
      <c r="G53" s="79" t="s">
        <v>92</v>
      </c>
      <c r="H53" s="80"/>
      <c r="I53" s="81">
        <f>IF(I51&lt;=38.25,0.1,IF(I51&lt;40.75,0.463*I51-17.63,0.732*I51-28.58))</f>
        <v>3.7274385228605311</v>
      </c>
      <c r="J53" s="21"/>
      <c r="K53" s="23"/>
      <c r="L53" s="21"/>
      <c r="M53" s="21"/>
    </row>
    <row r="54" spans="1:13">
      <c r="A54" s="82"/>
      <c r="B54" s="28"/>
      <c r="C54" s="28"/>
      <c r="D54" s="28"/>
      <c r="E54" s="28"/>
      <c r="F54" s="28"/>
      <c r="G54" s="28"/>
      <c r="H54" s="28"/>
      <c r="I54" s="28"/>
      <c r="J54" s="28"/>
      <c r="K54" s="29"/>
      <c r="L54" s="21"/>
      <c r="M54" s="21"/>
    </row>
    <row r="55" spans="1:13">
      <c r="A55" s="83" t="s">
        <v>93</v>
      </c>
      <c r="B55" s="21"/>
      <c r="C55" s="21"/>
      <c r="D55" s="21"/>
      <c r="E55" s="21"/>
      <c r="F55" s="21"/>
      <c r="G55" s="21"/>
      <c r="H55" s="21"/>
      <c r="I55" s="21"/>
      <c r="J55" s="21"/>
      <c r="K55" s="23"/>
      <c r="L55" s="21"/>
      <c r="M55" s="21"/>
    </row>
    <row r="56" spans="1:13" ht="15" customHeight="1">
      <c r="A56" s="84"/>
      <c r="B56" s="21"/>
      <c r="C56" s="21"/>
      <c r="D56" s="21"/>
      <c r="E56" s="21"/>
      <c r="F56" s="21"/>
      <c r="G56" s="21"/>
      <c r="H56" s="21"/>
      <c r="I56" s="21"/>
      <c r="J56" s="21"/>
      <c r="K56" s="23"/>
      <c r="L56" s="21"/>
      <c r="M56" s="21"/>
    </row>
    <row r="57" spans="1:13" ht="78.75" customHeight="1">
      <c r="A57" s="84"/>
      <c r="B57" s="21"/>
      <c r="C57" s="21"/>
      <c r="D57" s="21"/>
      <c r="E57" s="21"/>
      <c r="F57" s="21"/>
      <c r="G57" s="21"/>
      <c r="H57" s="21"/>
      <c r="I57" s="21"/>
      <c r="J57" s="21"/>
      <c r="K57" s="23"/>
      <c r="L57" s="21"/>
      <c r="M57" s="21"/>
    </row>
    <row r="58" spans="1:13" ht="12" customHeight="1">
      <c r="A58" s="84"/>
      <c r="B58" s="21"/>
      <c r="C58" s="21"/>
      <c r="D58" s="21"/>
      <c r="E58" s="21"/>
      <c r="F58" s="21"/>
      <c r="G58" s="21"/>
      <c r="H58" s="21"/>
      <c r="I58" s="21"/>
      <c r="J58" s="21"/>
      <c r="K58" s="23"/>
      <c r="L58" s="21"/>
      <c r="M58" s="21"/>
    </row>
    <row r="59" spans="1:13" ht="12" customHeight="1">
      <c r="A59" s="84"/>
      <c r="B59" s="21"/>
      <c r="C59" s="21"/>
      <c r="D59" s="21"/>
      <c r="E59" s="21"/>
      <c r="F59" s="21"/>
      <c r="G59" s="21"/>
      <c r="H59" s="21"/>
      <c r="I59" s="21"/>
      <c r="J59" s="21"/>
      <c r="K59" s="23"/>
      <c r="L59" s="21"/>
      <c r="M59" s="21"/>
    </row>
    <row r="60" spans="1:13" ht="12" customHeight="1">
      <c r="A60" s="84"/>
      <c r="B60" s="21"/>
      <c r="C60" s="21"/>
      <c r="D60" s="21"/>
      <c r="E60" s="21"/>
      <c r="F60" s="21"/>
      <c r="G60" s="21"/>
      <c r="H60" s="21"/>
      <c r="I60" s="21"/>
      <c r="J60" s="21"/>
      <c r="K60" s="23"/>
      <c r="L60" s="21"/>
      <c r="M60" s="21"/>
    </row>
    <row r="61" spans="1:13" ht="12" customHeight="1">
      <c r="A61" s="84"/>
      <c r="B61" s="21"/>
      <c r="C61" s="21"/>
      <c r="D61" s="21"/>
      <c r="E61" s="21"/>
      <c r="F61" s="21"/>
      <c r="G61" s="21"/>
      <c r="H61" s="21"/>
      <c r="I61" s="21"/>
      <c r="J61" s="21"/>
      <c r="K61" s="23"/>
      <c r="L61" s="21"/>
      <c r="M61" s="21"/>
    </row>
    <row r="62" spans="1:13" ht="12" customHeight="1">
      <c r="A62" s="84"/>
      <c r="B62" s="21"/>
      <c r="C62" s="21"/>
      <c r="D62" s="21"/>
      <c r="E62" s="21"/>
      <c r="F62" s="21"/>
      <c r="G62" s="21"/>
      <c r="H62" s="21"/>
      <c r="I62" s="21"/>
      <c r="J62" s="21"/>
      <c r="K62" s="23"/>
      <c r="L62" s="21"/>
      <c r="M62" s="21"/>
    </row>
    <row r="63" spans="1:13" ht="12" customHeight="1">
      <c r="A63" s="84"/>
      <c r="B63" s="21"/>
      <c r="C63" s="21"/>
      <c r="D63" s="21"/>
      <c r="E63" s="21"/>
      <c r="F63" s="21"/>
      <c r="G63" s="21"/>
      <c r="H63" s="21"/>
      <c r="I63" s="21"/>
      <c r="J63" s="21"/>
      <c r="K63" s="23"/>
      <c r="L63" s="21"/>
      <c r="M63" s="21"/>
    </row>
    <row r="64" spans="1:13" ht="12" customHeight="1">
      <c r="A64" s="84"/>
      <c r="B64" s="21"/>
      <c r="C64" s="21"/>
      <c r="D64" s="21"/>
      <c r="E64" s="21"/>
      <c r="F64" s="21"/>
      <c r="G64" s="21"/>
      <c r="H64" s="21"/>
      <c r="I64" s="21"/>
      <c r="J64" s="21"/>
      <c r="K64" s="23"/>
      <c r="L64" s="21"/>
      <c r="M64" s="21"/>
    </row>
    <row r="65" spans="1:13" ht="12" customHeight="1">
      <c r="A65" s="84"/>
      <c r="B65" s="21"/>
      <c r="C65" s="21"/>
      <c r="D65" s="21"/>
      <c r="E65" s="21"/>
      <c r="F65" s="21"/>
      <c r="G65" s="21"/>
      <c r="H65" s="21"/>
      <c r="I65" s="21"/>
      <c r="J65" s="21"/>
      <c r="K65" s="23"/>
      <c r="L65" s="21"/>
      <c r="M65" s="21"/>
    </row>
    <row r="66" spans="1:13" ht="12" customHeight="1">
      <c r="A66" s="84"/>
      <c r="B66" s="21"/>
      <c r="C66" s="21"/>
      <c r="D66" s="21"/>
      <c r="E66" s="21"/>
      <c r="F66" s="21"/>
      <c r="G66" s="21"/>
      <c r="H66" s="21"/>
      <c r="I66" s="21"/>
      <c r="J66" s="21"/>
      <c r="K66" s="23"/>
      <c r="L66" s="21"/>
      <c r="M66" s="21"/>
    </row>
    <row r="67" spans="1:13" ht="12" customHeight="1">
      <c r="A67" s="84"/>
      <c r="B67" s="21"/>
      <c r="C67" s="21"/>
      <c r="D67" s="21"/>
      <c r="E67" s="21"/>
      <c r="F67" s="21"/>
      <c r="G67" s="21"/>
      <c r="H67" s="21"/>
      <c r="I67" s="21"/>
      <c r="J67" s="21"/>
      <c r="K67" s="23"/>
      <c r="L67" s="21"/>
      <c r="M67" s="21"/>
    </row>
    <row r="68" spans="1:13" ht="12" customHeight="1">
      <c r="A68" s="84"/>
      <c r="B68" s="21"/>
      <c r="C68" s="21"/>
      <c r="D68" s="21"/>
      <c r="E68" s="21"/>
      <c r="F68" s="21"/>
      <c r="G68" s="21"/>
      <c r="H68" s="21"/>
      <c r="I68" s="21"/>
      <c r="J68" s="21"/>
      <c r="K68" s="23"/>
      <c r="L68" s="21"/>
      <c r="M68" s="21"/>
    </row>
    <row r="69" spans="1:13">
      <c r="A69" s="84"/>
      <c r="B69" s="21"/>
      <c r="C69" s="21"/>
      <c r="D69" s="21"/>
      <c r="E69" s="21"/>
      <c r="F69" s="21"/>
      <c r="G69" s="21"/>
      <c r="H69" s="21"/>
      <c r="I69" s="21"/>
      <c r="J69" s="21"/>
      <c r="K69" s="23"/>
      <c r="L69" s="21"/>
      <c r="M69" s="21"/>
    </row>
    <row r="70" spans="1:13">
      <c r="A70" s="84"/>
      <c r="B70" s="21"/>
      <c r="C70" s="21"/>
      <c r="D70" s="21"/>
      <c r="E70" s="21"/>
      <c r="F70" s="21"/>
      <c r="G70" s="21"/>
      <c r="H70" s="21"/>
      <c r="I70" s="21"/>
      <c r="J70" s="21"/>
      <c r="K70" s="23"/>
      <c r="L70" s="21"/>
      <c r="M70" s="21"/>
    </row>
    <row r="71" spans="1:13" ht="12" customHeight="1">
      <c r="A71" s="84"/>
      <c r="B71" s="21"/>
      <c r="C71" s="21"/>
      <c r="D71" s="21"/>
      <c r="E71" s="21"/>
      <c r="F71" s="21"/>
      <c r="G71" s="21"/>
      <c r="H71" s="21"/>
      <c r="I71" s="21"/>
      <c r="J71" s="21"/>
      <c r="K71" s="23"/>
      <c r="L71" s="21"/>
      <c r="M71" s="21"/>
    </row>
    <row r="72" spans="1:13">
      <c r="A72" s="84"/>
      <c r="B72" s="21"/>
      <c r="C72" s="21"/>
      <c r="D72" s="21"/>
      <c r="E72" s="21"/>
      <c r="F72" s="21"/>
      <c r="G72" s="21"/>
      <c r="H72" s="21"/>
      <c r="I72" s="21"/>
      <c r="J72" s="21"/>
      <c r="K72" s="23"/>
      <c r="L72" s="21"/>
      <c r="M72" s="21"/>
    </row>
    <row r="73" spans="1:13">
      <c r="A73" s="84"/>
      <c r="B73" s="21"/>
      <c r="C73" s="21"/>
      <c r="D73" s="21"/>
      <c r="E73" s="21"/>
      <c r="F73" s="21"/>
      <c r="G73" s="21"/>
      <c r="H73" s="21"/>
      <c r="I73" s="21"/>
      <c r="J73" s="21"/>
      <c r="K73" s="23"/>
      <c r="L73" s="21"/>
      <c r="M73" s="21"/>
    </row>
    <row r="74" spans="1:13">
      <c r="A74" s="84"/>
      <c r="B74" s="21"/>
      <c r="C74" s="21"/>
      <c r="D74" s="21"/>
      <c r="E74" s="21"/>
      <c r="F74" s="21"/>
      <c r="G74" s="21"/>
      <c r="H74" s="21"/>
      <c r="I74" s="21"/>
      <c r="J74" s="21"/>
      <c r="K74" s="23"/>
      <c r="L74" s="21"/>
      <c r="M74" s="21"/>
    </row>
    <row r="75" spans="1:13">
      <c r="A75" s="84"/>
      <c r="B75" s="21"/>
      <c r="C75" s="21"/>
      <c r="D75" s="21"/>
      <c r="E75" s="21"/>
      <c r="F75" s="21"/>
      <c r="G75" s="21"/>
      <c r="H75" s="21"/>
      <c r="I75" s="21"/>
      <c r="J75" s="21"/>
      <c r="K75" s="23"/>
      <c r="L75" s="21"/>
      <c r="M75" s="21"/>
    </row>
    <row r="76" spans="1:13">
      <c r="A76" s="84"/>
      <c r="B76" s="21"/>
      <c r="C76" s="21"/>
      <c r="D76" s="21"/>
      <c r="E76" s="21"/>
      <c r="F76" s="21"/>
      <c r="G76" s="21"/>
      <c r="H76" s="21"/>
      <c r="I76" s="21"/>
      <c r="J76" s="21"/>
      <c r="K76" s="23"/>
      <c r="L76" s="21"/>
      <c r="M76" s="21"/>
    </row>
    <row r="77" spans="1:13" ht="14.1" customHeight="1">
      <c r="A77" s="85"/>
      <c r="B77" s="21"/>
      <c r="C77" s="21"/>
      <c r="D77" s="21"/>
      <c r="E77" s="21"/>
      <c r="F77" s="21"/>
      <c r="G77" s="21"/>
      <c r="H77" s="21"/>
      <c r="I77" s="21"/>
      <c r="J77" s="21"/>
      <c r="K77" s="23"/>
      <c r="L77" s="21"/>
      <c r="M77" s="21"/>
    </row>
    <row r="78" spans="1:13" ht="21.95" customHeight="1">
      <c r="A78" s="147" t="s">
        <v>94</v>
      </c>
      <c r="B78" s="148"/>
      <c r="C78" s="149"/>
      <c r="D78" s="86" t="s">
        <v>95</v>
      </c>
      <c r="E78" s="87" t="s">
        <v>96</v>
      </c>
      <c r="F78" s="88" t="s">
        <v>97</v>
      </c>
      <c r="G78" s="89"/>
      <c r="H78" s="89"/>
      <c r="I78" s="89"/>
      <c r="J78" s="15" t="s">
        <v>98</v>
      </c>
      <c r="K78" s="16">
        <f>I53-C53</f>
        <v>2.2017413151181078</v>
      </c>
      <c r="L78" s="21"/>
      <c r="M78" s="21"/>
    </row>
    <row r="79" spans="1:13" ht="15">
      <c r="A79" s="150"/>
      <c r="B79" s="151"/>
      <c r="C79" s="152"/>
      <c r="D79" s="90">
        <f>C53</f>
        <v>1.5256972077424233</v>
      </c>
      <c r="E79" s="91">
        <f>F53</f>
        <v>3.4724999999999966</v>
      </c>
      <c r="F79" s="92">
        <f>I53</f>
        <v>3.7274385228605311</v>
      </c>
      <c r="G79" s="93" t="s">
        <v>99</v>
      </c>
      <c r="H79" s="93"/>
      <c r="I79" s="93"/>
      <c r="J79" s="17" t="s">
        <v>100</v>
      </c>
      <c r="K79" s="18">
        <f>2*F53-(C53+I53)</f>
        <v>1.6918642693970387</v>
      </c>
      <c r="L79" s="21"/>
      <c r="M79" s="21"/>
    </row>
    <row r="80" spans="1:13" ht="15">
      <c r="A80" s="153"/>
      <c r="B80" s="154"/>
      <c r="C80" s="155"/>
      <c r="D80" s="94"/>
      <c r="E80" s="95"/>
      <c r="F80" s="96"/>
      <c r="G80" s="97"/>
      <c r="H80" s="97"/>
      <c r="I80" s="97"/>
      <c r="J80" s="13"/>
      <c r="K80" s="14" t="e">
        <v>#NUM!</v>
      </c>
      <c r="L80" s="21"/>
      <c r="M80" s="21"/>
    </row>
    <row r="81" spans="1:13">
      <c r="A81" s="147"/>
      <c r="B81" s="148"/>
      <c r="C81" s="149"/>
      <c r="D81" s="21"/>
      <c r="E81" s="21"/>
      <c r="F81" s="21"/>
      <c r="G81" s="21"/>
      <c r="H81" s="98"/>
      <c r="I81" s="21"/>
      <c r="J81" s="21"/>
      <c r="K81" s="23"/>
      <c r="L81" s="21"/>
      <c r="M81" s="21"/>
    </row>
    <row r="82" spans="1:13">
      <c r="A82" s="150"/>
      <c r="B82" s="151"/>
      <c r="C82" s="152"/>
      <c r="D82" s="21"/>
      <c r="E82" s="21"/>
      <c r="F82" s="21"/>
      <c r="G82" s="21"/>
      <c r="H82" s="21"/>
      <c r="I82" s="21"/>
      <c r="J82" s="2" t="s">
        <v>101</v>
      </c>
      <c r="K82" s="9"/>
      <c r="L82" s="21"/>
      <c r="M82" s="21"/>
    </row>
    <row r="83" spans="1:13">
      <c r="A83" s="150"/>
      <c r="B83" s="151"/>
      <c r="C83" s="152"/>
      <c r="D83" s="21"/>
      <c r="E83" s="21"/>
      <c r="F83" s="21"/>
      <c r="G83" s="99"/>
      <c r="H83" s="100"/>
      <c r="I83" s="101"/>
      <c r="J83" s="2" t="s">
        <v>102</v>
      </c>
      <c r="K83" s="10"/>
      <c r="L83" s="21"/>
      <c r="M83" s="21"/>
    </row>
    <row r="84" spans="1:13" ht="15">
      <c r="A84" s="153"/>
      <c r="B84" s="154"/>
      <c r="C84" s="155"/>
      <c r="D84" s="30"/>
      <c r="E84" s="31"/>
      <c r="F84" s="31"/>
      <c r="G84" s="102"/>
      <c r="H84" s="103"/>
      <c r="I84" s="104"/>
      <c r="J84" s="11" t="s">
        <v>103</v>
      </c>
      <c r="K84" s="12"/>
      <c r="L84" s="21"/>
      <c r="M84" s="21"/>
    </row>
    <row r="85" spans="1:13" ht="13.5">
      <c r="A85" s="170" t="s">
        <v>104</v>
      </c>
      <c r="B85" s="171"/>
      <c r="C85" s="146" t="s">
        <v>105</v>
      </c>
      <c r="D85" s="146"/>
      <c r="E85" s="146" t="s">
        <v>106</v>
      </c>
      <c r="F85" s="146"/>
      <c r="G85" s="146" t="s">
        <v>107</v>
      </c>
      <c r="H85" s="146"/>
      <c r="I85" s="146"/>
      <c r="J85" s="105"/>
      <c r="K85" s="143" t="s">
        <v>108</v>
      </c>
      <c r="L85" s="21"/>
      <c r="M85" s="21"/>
    </row>
    <row r="86" spans="1:13" ht="50.1" customHeight="1">
      <c r="A86" s="168" t="s">
        <v>109</v>
      </c>
      <c r="B86" s="169"/>
      <c r="C86" s="145" t="s">
        <v>110</v>
      </c>
      <c r="D86" s="145"/>
      <c r="E86" s="145" t="s">
        <v>111</v>
      </c>
      <c r="F86" s="145"/>
      <c r="G86" s="145" t="s">
        <v>112</v>
      </c>
      <c r="H86" s="145"/>
      <c r="I86" s="145"/>
      <c r="J86" s="108" t="s">
        <v>113</v>
      </c>
      <c r="K86" s="144"/>
      <c r="L86" s="21"/>
      <c r="M86" s="21"/>
    </row>
    <row r="87" spans="1:13" ht="45">
      <c r="A87" s="168" t="s">
        <v>114</v>
      </c>
      <c r="B87" s="169"/>
      <c r="C87" s="145" t="s">
        <v>115</v>
      </c>
      <c r="D87" s="145"/>
      <c r="E87" s="145" t="s">
        <v>116</v>
      </c>
      <c r="F87" s="145"/>
      <c r="G87" s="145" t="s">
        <v>117</v>
      </c>
      <c r="H87" s="145"/>
      <c r="I87" s="145"/>
      <c r="J87" s="108" t="s">
        <v>118</v>
      </c>
      <c r="K87" s="144"/>
      <c r="L87" s="21"/>
      <c r="M87" s="21"/>
    </row>
    <row r="88" spans="1:13" ht="33.75">
      <c r="A88" s="168" t="s">
        <v>119</v>
      </c>
      <c r="B88" s="169"/>
      <c r="C88" s="145" t="s">
        <v>120</v>
      </c>
      <c r="D88" s="145"/>
      <c r="E88" s="145" t="s">
        <v>121</v>
      </c>
      <c r="F88" s="145"/>
      <c r="G88" s="145" t="s">
        <v>122</v>
      </c>
      <c r="H88" s="145"/>
      <c r="I88" s="145"/>
      <c r="J88" s="108" t="s">
        <v>123</v>
      </c>
      <c r="K88" s="144"/>
      <c r="L88" s="21"/>
      <c r="M88" s="21"/>
    </row>
    <row r="89" spans="1:13">
      <c r="A89" s="1">
        <f>'HOJA DE TRABAJO'!C1</f>
        <v>0</v>
      </c>
      <c r="L89" s="21"/>
      <c r="M89" s="21"/>
    </row>
    <row r="90" spans="1:13" ht="23.25" customHeight="1">
      <c r="L90" s="21"/>
      <c r="M90" s="21"/>
    </row>
    <row r="91" spans="1:13">
      <c r="L91" s="93"/>
      <c r="M91" s="21"/>
    </row>
    <row r="92" spans="1:13">
      <c r="L92" s="93"/>
      <c r="M92" s="21"/>
    </row>
    <row r="93" spans="1:13">
      <c r="L93" s="93"/>
      <c r="M93" s="21"/>
    </row>
    <row r="94" spans="1:13">
      <c r="L94" s="2"/>
      <c r="M94" s="21"/>
    </row>
    <row r="95" spans="1:13">
      <c r="L95" s="2"/>
      <c r="M95" s="21"/>
    </row>
    <row r="96" spans="1:13">
      <c r="L96" s="21"/>
      <c r="M96" s="21"/>
    </row>
    <row r="97" spans="1:13">
      <c r="L97" s="21"/>
      <c r="M97" s="21"/>
    </row>
    <row r="98" spans="1:13" ht="13.5" customHeight="1">
      <c r="L98" s="21"/>
      <c r="M98" s="21"/>
    </row>
    <row r="99" spans="1:13" ht="87.75" customHeight="1">
      <c r="L99" s="21"/>
      <c r="M99" s="21"/>
    </row>
    <row r="100" spans="1:13" ht="84.75" customHeight="1">
      <c r="A100" s="1">
        <v>1</v>
      </c>
      <c r="L100" s="21"/>
      <c r="M100" s="21"/>
    </row>
    <row r="101" spans="1:13" ht="58.5" customHeight="1">
      <c r="A101" s="1">
        <v>2</v>
      </c>
      <c r="L101" s="21"/>
      <c r="M101" s="21"/>
    </row>
    <row r="102" spans="1:13" ht="78.75" customHeight="1">
      <c r="A102" s="1">
        <v>3</v>
      </c>
    </row>
    <row r="103" spans="1:13">
      <c r="A103" s="1">
        <v>4</v>
      </c>
    </row>
    <row r="104" spans="1:13">
      <c r="A104" s="1">
        <v>5</v>
      </c>
    </row>
    <row r="105" spans="1:13">
      <c r="A105" s="1"/>
    </row>
    <row r="106" spans="1:13">
      <c r="A106" s="1"/>
    </row>
    <row r="107" spans="1:13">
      <c r="A107" s="1"/>
    </row>
    <row r="108" spans="1:13" ht="25.5" customHeight="1">
      <c r="A108" s="1">
        <v>1</v>
      </c>
    </row>
    <row r="109" spans="1:13" ht="25.5" customHeight="1">
      <c r="A109" s="1">
        <v>2</v>
      </c>
    </row>
    <row r="110" spans="1:13" ht="45.75" customHeight="1">
      <c r="A110" s="1">
        <v>3</v>
      </c>
    </row>
    <row r="111" spans="1:13">
      <c r="A111" s="1">
        <v>4</v>
      </c>
    </row>
    <row r="112" spans="1:13">
      <c r="A112" s="1">
        <v>5</v>
      </c>
    </row>
    <row r="113" spans="1:1">
      <c r="A113" s="1"/>
    </row>
    <row r="114" spans="1:1">
      <c r="A114" s="1"/>
    </row>
    <row r="115" spans="1:1">
      <c r="A115" s="1"/>
    </row>
    <row r="116" spans="1:1">
      <c r="A116" s="1">
        <v>1</v>
      </c>
    </row>
    <row r="117" spans="1:1">
      <c r="A117" s="1">
        <v>2</v>
      </c>
    </row>
    <row r="118" spans="1:1" ht="25.5" customHeight="1">
      <c r="A118" s="1">
        <v>3</v>
      </c>
    </row>
    <row r="119" spans="1:1">
      <c r="A119" s="1">
        <v>4</v>
      </c>
    </row>
    <row r="120" spans="1:1">
      <c r="A120" s="1">
        <v>5</v>
      </c>
    </row>
    <row r="121" spans="1:1">
      <c r="A121" s="1"/>
    </row>
    <row r="122" spans="1:1">
      <c r="A122" s="1"/>
    </row>
    <row r="123" spans="1:1">
      <c r="A123" s="1"/>
    </row>
    <row r="124" spans="1:1">
      <c r="A124" s="1">
        <v>1</v>
      </c>
    </row>
    <row r="125" spans="1:1">
      <c r="A125" s="1">
        <v>2</v>
      </c>
    </row>
    <row r="126" spans="1:1" ht="25.5" customHeight="1">
      <c r="A126" s="1">
        <v>3</v>
      </c>
    </row>
    <row r="127" spans="1:1">
      <c r="A127" s="1">
        <v>4</v>
      </c>
    </row>
    <row r="128" spans="1:1">
      <c r="A128" s="1">
        <v>5</v>
      </c>
    </row>
    <row r="134" ht="25.5" customHeight="1"/>
  </sheetData>
  <mergeCells count="35">
    <mergeCell ref="E85:F85"/>
    <mergeCell ref="A81:C84"/>
    <mergeCell ref="G85:I85"/>
    <mergeCell ref="A88:B88"/>
    <mergeCell ref="A87:B87"/>
    <mergeCell ref="A86:B86"/>
    <mergeCell ref="A85:B85"/>
    <mergeCell ref="I1:K1"/>
    <mergeCell ref="A1:H1"/>
    <mergeCell ref="G8:H8"/>
    <mergeCell ref="H5:I5"/>
    <mergeCell ref="F5:G5"/>
    <mergeCell ref="C5:D5"/>
    <mergeCell ref="D3:G3"/>
    <mergeCell ref="K29:K42"/>
    <mergeCell ref="G43:H43"/>
    <mergeCell ref="A29:A42"/>
    <mergeCell ref="A44:H44"/>
    <mergeCell ref="I44:K44"/>
    <mergeCell ref="D46:G46"/>
    <mergeCell ref="C48:D48"/>
    <mergeCell ref="F48:G48"/>
    <mergeCell ref="H48:I48"/>
    <mergeCell ref="K85:K88"/>
    <mergeCell ref="C86:D86"/>
    <mergeCell ref="E86:F86"/>
    <mergeCell ref="G86:I86"/>
    <mergeCell ref="G87:I87"/>
    <mergeCell ref="C88:D88"/>
    <mergeCell ref="C85:D85"/>
    <mergeCell ref="A78:C80"/>
    <mergeCell ref="E88:F88"/>
    <mergeCell ref="G88:I88"/>
    <mergeCell ref="C87:D87"/>
    <mergeCell ref="E87:F87"/>
  </mergeCells>
  <phoneticPr fontId="14" type="noConversion"/>
  <conditionalFormatting sqref="I10:J26">
    <cfRule type="cellIs" dxfId="1" priority="1" stopIfTrue="1" operator="equal">
      <formula>"S"</formula>
    </cfRule>
    <cfRule type="cellIs" dxfId="0" priority="2" stopIfTrue="1" operator="equal">
      <formula>"NS"</formula>
    </cfRule>
  </conditionalFormatting>
  <printOptions horizontalCentered="1"/>
  <pageMargins left="0.39370078740157483" right="0.39370078740157483" top="0.39370078740157483" bottom="0.59055118110236227" header="0" footer="0.19685039370078741"/>
  <pageSetup paperSize="9" scale="86" fitToHeight="4" orientation="portrait" horizontalDpi="300" verticalDpi="300" r:id="rId1"/>
  <rowBreaks count="1" manualBreakCount="1">
    <brk id="43" max="10" man="1"/>
  </rowBreaks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H10"/>
  <sheetViews>
    <sheetView zoomScale="150" zoomScaleNormal="150" zoomScalePageLayoutView="150" workbookViewId="0">
      <selection activeCell="G11" sqref="G11"/>
    </sheetView>
  </sheetViews>
  <sheetFormatPr defaultColWidth="11.42578125" defaultRowHeight="12.75"/>
  <cols>
    <col min="7" max="7" width="11.28515625" customWidth="1"/>
  </cols>
  <sheetData>
    <row r="1" spans="2:8" ht="35.1" customHeight="1">
      <c r="F1" s="126" t="s">
        <v>124</v>
      </c>
      <c r="G1" s="126" t="s">
        <v>125</v>
      </c>
      <c r="H1" s="126" t="s">
        <v>126</v>
      </c>
    </row>
    <row r="2" spans="2:8">
      <c r="B2" s="128" t="s">
        <v>127</v>
      </c>
      <c r="C2" s="129" t="s">
        <v>128</v>
      </c>
      <c r="D2" s="129"/>
      <c r="E2" s="130">
        <f>'INFORME IMPRIMIR'!E10</f>
        <v>65.599999999999994</v>
      </c>
      <c r="F2" s="129"/>
      <c r="G2" s="130">
        <f>(E5*100/(100-F3))</f>
        <v>54.508485853446473</v>
      </c>
      <c r="H2" s="134"/>
    </row>
    <row r="3" spans="2:8">
      <c r="B3" t="s">
        <v>74</v>
      </c>
      <c r="C3" s="131" t="s">
        <v>75</v>
      </c>
      <c r="E3" s="127">
        <f>'INFORME IMPRIMIR'!E32</f>
        <v>16.907795955112078</v>
      </c>
      <c r="F3" s="125"/>
      <c r="G3" s="127"/>
      <c r="H3" s="135"/>
    </row>
    <row r="4" spans="2:8">
      <c r="B4" t="s">
        <v>76</v>
      </c>
      <c r="C4" t="s">
        <v>77</v>
      </c>
      <c r="E4" s="127">
        <f>'INFORME IMPRIMIR'!E33</f>
        <v>11.091514146553523</v>
      </c>
      <c r="G4" s="127">
        <f>G2*F3*0.01</f>
        <v>0</v>
      </c>
      <c r="H4" s="127">
        <f>+E4-G4</f>
        <v>11.091514146553523</v>
      </c>
    </row>
    <row r="5" spans="2:8">
      <c r="B5" s="132" t="s">
        <v>78</v>
      </c>
      <c r="C5" s="132" t="s">
        <v>77</v>
      </c>
      <c r="D5" s="132"/>
      <c r="E5" s="133">
        <f>'INFORME IMPRIMIR'!E34</f>
        <v>54.508485853446473</v>
      </c>
      <c r="F5" s="132"/>
      <c r="G5" s="133">
        <f>E5</f>
        <v>54.508485853446473</v>
      </c>
      <c r="H5" s="136"/>
    </row>
    <row r="6" spans="2:8">
      <c r="E6" s="127"/>
      <c r="G6" s="127"/>
      <c r="H6" s="135"/>
    </row>
    <row r="7" spans="2:8">
      <c r="B7" s="128" t="s">
        <v>127</v>
      </c>
      <c r="C7" s="129" t="s">
        <v>128</v>
      </c>
      <c r="D7" s="129"/>
      <c r="E7" s="130">
        <f>'INFORME IMPRIMIR'!E10</f>
        <v>65.599999999999994</v>
      </c>
      <c r="F7" s="129"/>
      <c r="G7" s="130">
        <f>(E10*100/(100-F8))</f>
        <v>58.072531199999993</v>
      </c>
      <c r="H7" s="134"/>
    </row>
    <row r="8" spans="2:8">
      <c r="B8" t="s">
        <v>74</v>
      </c>
      <c r="C8" s="131" t="s">
        <v>79</v>
      </c>
      <c r="E8" s="127">
        <f>'INFORME IMPRIMIR'!E36</f>
        <v>11.4748</v>
      </c>
      <c r="F8" s="125"/>
      <c r="G8" s="127"/>
      <c r="H8" s="135"/>
    </row>
    <row r="9" spans="2:8">
      <c r="B9" t="s">
        <v>76</v>
      </c>
      <c r="C9" t="s">
        <v>77</v>
      </c>
      <c r="E9" s="127">
        <f>'INFORME IMPRIMIR'!E37</f>
        <v>7.5274687999999994</v>
      </c>
      <c r="G9" s="127">
        <f>G7*F8*0.01</f>
        <v>0</v>
      </c>
      <c r="H9" s="127">
        <f>+E9-G9</f>
        <v>7.5274687999999994</v>
      </c>
    </row>
    <row r="10" spans="2:8">
      <c r="B10" s="132" t="s">
        <v>78</v>
      </c>
      <c r="C10" s="132" t="s">
        <v>77</v>
      </c>
      <c r="D10" s="132"/>
      <c r="E10" s="133">
        <f>'INFORME IMPRIMIR'!E38</f>
        <v>58.072531199999993</v>
      </c>
      <c r="F10" s="132"/>
      <c r="G10" s="133">
        <f>E10</f>
        <v>58.072531199999993</v>
      </c>
      <c r="H10" s="13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Consultorio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 Holway</dc:creator>
  <cp:keywords/>
  <dc:description/>
  <cp:lastModifiedBy>Usuario invitado</cp:lastModifiedBy>
  <cp:revision/>
  <dcterms:created xsi:type="dcterms:W3CDTF">1999-08-23T20:00:20Z</dcterms:created>
  <dcterms:modified xsi:type="dcterms:W3CDTF">2022-10-08T01:21:40Z</dcterms:modified>
  <cp:category/>
  <cp:contentStatus/>
</cp:coreProperties>
</file>