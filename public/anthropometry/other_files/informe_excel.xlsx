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codeName="EsteLibro" autoCompressPictures="0"/>
  <mc:AlternateContent xmlns:mc="http://schemas.openxmlformats.org/markup-compatibility/2006">
    <mc:Choice Requires="x15">
      <x15ac:absPath xmlns:x15ac="http://schemas.microsoft.com/office/spreadsheetml/2010/11/ac" url="C:\anthropometry_calc\other_files\"/>
    </mc:Choice>
  </mc:AlternateContent>
  <xr:revisionPtr revIDLastSave="0" documentId="13_ncr:1_{4210CB5F-FB15-4184-AEA0-0470286E6D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FORME IMPRIMIR (2)" sheetId="7" r:id="rId1"/>
  </sheets>
  <externalReferences>
    <externalReference r:id="rId2"/>
  </externalReferences>
  <definedNames>
    <definedName name="adiposo">#REF!</definedName>
    <definedName name="adiposo_muscular">#REF!</definedName>
    <definedName name="AF">#REF!</definedName>
    <definedName name="_xlnm.Print_Area" localSheetId="0">'INFORME IMPRIMIR (2)'!$A$1:$K$88</definedName>
    <definedName name="arq">'[1]Proc datos brutos'!$AH$3:$AJ$48</definedName>
    <definedName name="defcen">'[1]Proc datos brutos'!$AK$3:$AM$48</definedName>
    <definedName name="deflat">'[1]Proc datos brutos'!$AN$3:$AP$48</definedName>
    <definedName name="delcen">'[1]Proc datos brutos'!$AZ$3:$BB$48</definedName>
    <definedName name="dellat">'[1]Proc datos brutos'!$AW$3:$AY$48</definedName>
    <definedName name="depf">#REF!</definedName>
    <definedName name="depm">#REF!</definedName>
    <definedName name="deps">#REF!</definedName>
    <definedName name="HTML_CodePage" hidden="1">1252</definedName>
    <definedName name="HTML_Control" hidden="1">{"'Proc datos brutos'!$A$2:$M$53"}</definedName>
    <definedName name="HTML_Description" hidden="1">""</definedName>
    <definedName name="HTML_Email" hidden="1">""</definedName>
    <definedName name="HTML_Header" hidden="1">"Proc datos brutos"</definedName>
    <definedName name="HTML_LastUpdate" hidden="1">"17/01/2000"</definedName>
    <definedName name="HTML_LineAfter" hidden="1">FALSE</definedName>
    <definedName name="HTML_LineBefore" hidden="1">FALSE</definedName>
    <definedName name="HTML_Name" hidden="1">"Francis Holway"</definedName>
    <definedName name="HTML_OBDlg2" hidden="1">TRUE</definedName>
    <definedName name="HTML_OBDlg4" hidden="1">TRUE</definedName>
    <definedName name="HTML_OS" hidden="1">0</definedName>
    <definedName name="HTML_PathFile" hidden="1">"C:\Mis documentos\HTML.htm"</definedName>
    <definedName name="HTML_Title" hidden="1">"proc datos brutos definitivo nuevo"</definedName>
    <definedName name="meddef">'[1]Proc datos brutos'!$AQ$3:$AS$48</definedName>
    <definedName name="medof">'[1]Proc datos brutos'!$AT$3:$AV$48</definedName>
    <definedName name="muscular">#REF!</definedName>
    <definedName name="muscular_osea">#REF!</definedName>
    <definedName name="posiciones">'[1]Proc datos brutos'!$BD$2:$BF$8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89" i="7" l="1"/>
  <c r="F51" i="7"/>
  <c r="C51" i="7"/>
  <c r="I50" i="7"/>
  <c r="I51" i="7" s="1"/>
  <c r="I53" i="7" s="1"/>
  <c r="F79" i="7" s="1"/>
  <c r="C50" i="7"/>
  <c r="C52" i="7" s="1"/>
  <c r="C53" i="7" s="1"/>
  <c r="D79" i="7" s="1"/>
  <c r="H48" i="7"/>
  <c r="E48" i="7"/>
  <c r="I46" i="7"/>
  <c r="D46" i="7"/>
  <c r="F50" i="7"/>
  <c r="F53" i="7" s="1"/>
  <c r="H5" i="7"/>
  <c r="I3" i="7"/>
  <c r="D3" i="7"/>
  <c r="K79" i="7" l="1"/>
  <c r="E79" i="7"/>
  <c r="K78" i="7"/>
</calcChain>
</file>

<file path=xl/sharedStrings.xml><?xml version="1.0" encoding="utf-8"?>
<sst xmlns="http://schemas.openxmlformats.org/spreadsheetml/2006/main" count="92" uniqueCount="82">
  <si>
    <t>Nombre:</t>
  </si>
  <si>
    <t>Humeral (biepicondilar)</t>
  </si>
  <si>
    <t>Femoral (biepicondilar)</t>
  </si>
  <si>
    <t>Brazo Relajado</t>
  </si>
  <si>
    <t>Brazo Flexionado en Tensión</t>
  </si>
  <si>
    <t>Cintura (mínima)</t>
  </si>
  <si>
    <t>Pantorrilla (máxima)</t>
  </si>
  <si>
    <t>Bíceps</t>
  </si>
  <si>
    <t>Supraespinal</t>
  </si>
  <si>
    <t>Abdominal</t>
  </si>
  <si>
    <t>Informe de
Composición Corporal Nivel 1</t>
  </si>
  <si>
    <r>
      <t>Lic. Sonia Polidori</t>
    </r>
    <r>
      <rPr>
        <sz val="9"/>
        <rFont val="Arial"/>
        <family val="2"/>
      </rPr>
      <t xml:space="preserve">
</t>
    </r>
    <r>
      <rPr>
        <sz val="8"/>
        <rFont val="Arial"/>
        <family val="2"/>
      </rPr>
      <t>NUTRICION DEPORTIVA</t>
    </r>
    <r>
      <rPr>
        <sz val="9"/>
        <rFont val="Arial"/>
        <family val="2"/>
      </rPr>
      <t xml:space="preserve">
Teléfono: 3514598393
E-mail: sonipoli@hotmail.com</t>
    </r>
  </si>
  <si>
    <t>Edad:</t>
  </si>
  <si>
    <t>Número de medición:</t>
  </si>
  <si>
    <t>Fecha de medición:</t>
  </si>
  <si>
    <t>Resultados</t>
  </si>
  <si>
    <t>Valor Ajustado</t>
  </si>
  <si>
    <t>EJES</t>
  </si>
  <si>
    <t>Peso (kg)</t>
  </si>
  <si>
    <t>Talla (cm)</t>
  </si>
  <si>
    <t>Caderas (máxima)</t>
  </si>
  <si>
    <t>Tríceps</t>
  </si>
  <si>
    <t>Subescapular</t>
  </si>
  <si>
    <t>Cresta Ilíaca</t>
  </si>
  <si>
    <t>Muslo (medial)</t>
  </si>
  <si>
    <t>Pantorrilla</t>
  </si>
  <si>
    <t>Índices y composición corporal (Durnin &amp; Womersley)</t>
  </si>
  <si>
    <t>IMC</t>
  </si>
  <si>
    <r>
      <t>kg/m</t>
    </r>
    <r>
      <rPr>
        <vertAlign val="superscript"/>
        <sz val="10"/>
        <rFont val="Arial"/>
        <family val="2"/>
      </rPr>
      <t>-2</t>
    </r>
  </si>
  <si>
    <t>IndCint/Cad</t>
  </si>
  <si>
    <t>Suma 6 pl</t>
  </si>
  <si>
    <t>mm</t>
  </si>
  <si>
    <t>% graso</t>
  </si>
  <si>
    <t>Durnin &amp; W</t>
  </si>
  <si>
    <t>Grasa</t>
  </si>
  <si>
    <t>kg</t>
  </si>
  <si>
    <t>Magra</t>
  </si>
  <si>
    <t>Yuhasz (atletas)</t>
  </si>
  <si>
    <r>
      <t>Area Musc Brazo mm</t>
    </r>
    <r>
      <rPr>
        <b/>
        <vertAlign val="superscript"/>
        <sz val="10"/>
        <rFont val="Arial"/>
        <family val="2"/>
      </rPr>
      <t>2</t>
    </r>
  </si>
  <si>
    <r>
      <t xml:space="preserve">Somatotipo de Heath &amp; Carter
</t>
    </r>
    <r>
      <rPr>
        <b/>
        <sz val="16"/>
        <rFont val="Arial"/>
        <family val="2"/>
      </rPr>
      <t>(1990)</t>
    </r>
  </si>
  <si>
    <r>
      <t>Francis Holway</t>
    </r>
    <r>
      <rPr>
        <sz val="9"/>
        <rFont val="Arial"/>
        <family val="2"/>
      </rPr>
      <t xml:space="preserve">
</t>
    </r>
    <r>
      <rPr>
        <sz val="8"/>
        <rFont val="Arial"/>
        <family val="2"/>
      </rPr>
      <t>NUTRICION DEPORTIVA</t>
    </r>
    <r>
      <rPr>
        <sz val="9"/>
        <rFont val="Arial"/>
        <family val="2"/>
      </rPr>
      <t xml:space="preserve">
Teléfono: 4822-9436
E-mail: fholway@hotmail.com</t>
    </r>
  </si>
  <si>
    <t>Sumatoria de pliegues:</t>
  </si>
  <si>
    <t>per.correg. brazo:</t>
  </si>
  <si>
    <t>raíz cúbica del peso:</t>
  </si>
  <si>
    <t>170,18 / altura en cm:</t>
  </si>
  <si>
    <t>per.correg. pantorrilla:</t>
  </si>
  <si>
    <t>HWR:</t>
  </si>
  <si>
    <t>Sumatoria SF (sum.SF):</t>
  </si>
  <si>
    <t>Endomorfo</t>
  </si>
  <si>
    <t>Mesomorfo</t>
  </si>
  <si>
    <t>Ectomorfo</t>
  </si>
  <si>
    <t>SOMATOCARTA</t>
  </si>
  <si>
    <t>RATING DE SOMATOTIPO</t>
  </si>
  <si>
    <t>ENDO</t>
  </si>
  <si>
    <t>MESO</t>
  </si>
  <si>
    <t>ECTO</t>
  </si>
  <si>
    <t>X (ecto-endo):</t>
  </si>
  <si>
    <t>(Posicionamiento actual)</t>
  </si>
  <si>
    <t>Y (2*meso-(ecto+endo)):</t>
  </si>
  <si>
    <t>sexo:</t>
  </si>
  <si>
    <t>x:</t>
  </si>
  <si>
    <t>y:</t>
  </si>
  <si>
    <r>
      <t>1     1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>/</t>
    </r>
    <r>
      <rPr>
        <b/>
        <vertAlign val="subscript"/>
        <sz val="9"/>
        <rFont val="Arial"/>
        <family val="2"/>
      </rPr>
      <t xml:space="preserve">2    </t>
    </r>
    <r>
      <rPr>
        <b/>
        <sz val="9"/>
        <rFont val="Arial"/>
        <family val="2"/>
      </rPr>
      <t xml:space="preserve"> 2     2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>/</t>
    </r>
    <r>
      <rPr>
        <b/>
        <vertAlign val="subscript"/>
        <sz val="9"/>
        <rFont val="Arial"/>
        <family val="2"/>
      </rPr>
      <t>2</t>
    </r>
  </si>
  <si>
    <r>
      <t>3    3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>/</t>
    </r>
    <r>
      <rPr>
        <b/>
        <vertAlign val="subscript"/>
        <sz val="9"/>
        <rFont val="Arial"/>
        <family val="2"/>
      </rPr>
      <t xml:space="preserve">2   </t>
    </r>
    <r>
      <rPr>
        <b/>
        <sz val="9"/>
        <rFont val="Arial"/>
        <family val="2"/>
      </rPr>
      <t xml:space="preserve"> 4    4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>/</t>
    </r>
    <r>
      <rPr>
        <b/>
        <vertAlign val="subscript"/>
        <sz val="9"/>
        <rFont val="Arial"/>
        <family val="2"/>
      </rPr>
      <t xml:space="preserve">2    </t>
    </r>
    <r>
      <rPr>
        <b/>
        <sz val="9"/>
        <rFont val="Arial"/>
        <family val="2"/>
      </rPr>
      <t>5</t>
    </r>
  </si>
  <si>
    <r>
      <t>5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>/</t>
    </r>
    <r>
      <rPr>
        <b/>
        <vertAlign val="subscript"/>
        <sz val="9"/>
        <rFont val="Arial"/>
        <family val="2"/>
      </rPr>
      <t xml:space="preserve">2    </t>
    </r>
    <r>
      <rPr>
        <b/>
        <sz val="9"/>
        <rFont val="Arial"/>
        <family val="2"/>
      </rPr>
      <t xml:space="preserve"> 6     6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>/</t>
    </r>
    <r>
      <rPr>
        <b/>
        <vertAlign val="subscript"/>
        <sz val="9"/>
        <rFont val="Arial"/>
        <family val="2"/>
      </rPr>
      <t xml:space="preserve">2     </t>
    </r>
    <r>
      <rPr>
        <b/>
        <sz val="9"/>
        <rFont val="Arial"/>
        <family val="2"/>
      </rPr>
      <t>7</t>
    </r>
  </si>
  <si>
    <r>
      <t>7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>/</t>
    </r>
    <r>
      <rPr>
        <b/>
        <vertAlign val="subscript"/>
        <sz val="9"/>
        <rFont val="Arial"/>
        <family val="2"/>
      </rPr>
      <t>2</t>
    </r>
    <r>
      <rPr>
        <b/>
        <sz val="9"/>
        <rFont val="Arial"/>
        <family val="2"/>
      </rPr>
      <t xml:space="preserve">        8        8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>/</t>
    </r>
    <r>
      <rPr>
        <b/>
        <vertAlign val="subscript"/>
        <sz val="9"/>
        <rFont val="Arial"/>
        <family val="2"/>
      </rPr>
      <t>2</t>
    </r>
  </si>
  <si>
    <t>ESCALA DE RATING Y CARACTERÍSTICAS
(Carter y Heath, 1990)</t>
  </si>
  <si>
    <t>Baja adiposidad relativa; poca grasa subcutánea; contornos musculares y óseos visibles.</t>
  </si>
  <si>
    <t>Moderada adiposidad relativa; la grasa subcutánea cubre los contornos musculares y óseos; apariencia más blanda.</t>
  </si>
  <si>
    <t>Alta adiposidad relativa; grasa subcutánea abundante; redondez en tronco y extremidades; mayor acumulación de grasa en el abdomen.</t>
  </si>
  <si>
    <t>Extremadamente alta adiposidad relativa; muy abundante grasa subcutánea y grandes cantidades de grasa abdomin.en el tronco; concentración proximal de grasa en extremidades.</t>
  </si>
  <si>
    <t>ENDOMORFIA
Adiposidad
Relativa</t>
  </si>
  <si>
    <t>Bajo desarrollo mús-esquelético relativo; diámetros óseos estrechos; diámetros musculares estrechos; pequeñas articulaciones en las extremidades.</t>
  </si>
  <si>
    <t>Moderado desarrollo músc-esquelético relativo; mayor volúmen muscular y huesos y articulaciones de mayores dimensiones.</t>
  </si>
  <si>
    <t>Alto desarrollo músc-esquelético relativo; diámetros óseos grandes; músculos de gran volumen; articulaciones grandes.</t>
  </si>
  <si>
    <t>Desarrollo músculoésquelético relativo extremadamente alto; músculos muy voluminosos; esqueleto y articulaciones muy grandes.</t>
  </si>
  <si>
    <t>MESOMORFIA
Robustez
Músculo-Esquelética</t>
  </si>
  <si>
    <t>Gran volumen por unidad de altura; extremidades relativamente voluminosas.</t>
  </si>
  <si>
    <t>Linearidad relativa moderada; menos volumen por unidad de altura; más estirado.</t>
  </si>
  <si>
    <t>Linearidad relativa elevada; poco volumen por unidad de altura.</t>
  </si>
  <si>
    <t>Linearidad relativa extremadamente alta; muy estirado; volumen mínimo por unidad de altura.</t>
  </si>
  <si>
    <t>ECTOMORFIA
Linearidad
Relativa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</si>
</sst>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b/>
      <sz val="9"/>
      <color indexed="16"/>
      <name val="Arial"/>
      <family val="2"/>
    </font>
    <font>
      <sz val="10"/>
      <color indexed="18"/>
      <name val="Arial"/>
      <family val="2"/>
    </font>
    <font>
      <b/>
      <sz val="10"/>
      <color indexed="23"/>
      <name val="Arial"/>
      <family val="2"/>
    </font>
    <font>
      <sz val="10"/>
      <color indexed="16"/>
      <name val="Arial"/>
      <family val="2"/>
    </font>
    <font>
      <sz val="10"/>
      <name val="Arial"/>
      <family val="2"/>
    </font>
    <font>
      <sz val="10"/>
      <color indexed="53"/>
      <name val="Arial"/>
      <family val="2"/>
    </font>
    <font>
      <sz val="10"/>
      <color indexed="48"/>
      <name val="Arial"/>
      <family val="2"/>
    </font>
    <font>
      <sz val="10"/>
      <color indexed="57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vertAlign val="superscript"/>
      <sz val="10"/>
      <name val="Arial"/>
      <family val="2"/>
    </font>
    <font>
      <b/>
      <sz val="18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i/>
      <sz val="10"/>
      <color indexed="9"/>
      <name val="Arial"/>
      <family val="2"/>
    </font>
    <font>
      <b/>
      <i/>
      <sz val="10"/>
      <color indexed="23"/>
      <name val="Arial"/>
      <family val="2"/>
    </font>
    <font>
      <b/>
      <sz val="9"/>
      <color indexed="18"/>
      <name val="Arial"/>
      <family val="2"/>
    </font>
    <font>
      <sz val="11"/>
      <color indexed="18"/>
      <name val="Arial"/>
      <family val="2"/>
    </font>
    <font>
      <i/>
      <sz val="11"/>
      <color indexed="18"/>
      <name val="Arial"/>
      <family val="2"/>
    </font>
    <font>
      <sz val="11"/>
      <color indexed="16"/>
      <name val="Arial"/>
      <family val="2"/>
    </font>
    <font>
      <i/>
      <sz val="11"/>
      <color indexed="16"/>
      <name val="Arial"/>
      <family val="2"/>
    </font>
    <font>
      <b/>
      <sz val="9"/>
      <color indexed="20"/>
      <name val="Arial"/>
      <family val="2"/>
    </font>
    <font>
      <b/>
      <sz val="9"/>
      <color indexed="54"/>
      <name val="Arial"/>
      <family val="2"/>
    </font>
    <font>
      <b/>
      <sz val="10"/>
      <color indexed="17"/>
      <name val="Arial"/>
      <family val="2"/>
    </font>
    <font>
      <sz val="10"/>
      <color indexed="17"/>
      <name val="Arial"/>
      <family val="2"/>
    </font>
    <font>
      <b/>
      <sz val="16"/>
      <name val="Arial"/>
      <family val="2"/>
    </font>
    <font>
      <sz val="10"/>
      <color indexed="12"/>
      <name val="Arial"/>
      <family val="2"/>
    </font>
    <font>
      <b/>
      <sz val="11"/>
      <color indexed="53"/>
      <name val="Arial"/>
      <family val="2"/>
    </font>
    <font>
      <b/>
      <sz val="11"/>
      <color indexed="12"/>
      <name val="Arial"/>
      <family val="2"/>
    </font>
    <font>
      <b/>
      <sz val="11"/>
      <color indexed="17"/>
      <name val="Arial"/>
      <family val="2"/>
    </font>
    <font>
      <b/>
      <i/>
      <sz val="10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b/>
      <vertAlign val="subscript"/>
      <sz val="9"/>
      <name val="Arial"/>
      <family val="2"/>
    </font>
    <font>
      <i/>
      <sz val="11"/>
      <name val="Arial"/>
      <family val="2"/>
    </font>
    <font>
      <b/>
      <vertAlign val="superscript"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1">
    <xf numFmtId="0" fontId="0" fillId="0" borderId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</cellStyleXfs>
  <cellXfs count="160">
    <xf numFmtId="0" fontId="0" fillId="0" borderId="0" xfId="0"/>
    <xf numFmtId="0" fontId="3" fillId="0" borderId="0" xfId="0" applyFont="1"/>
    <xf numFmtId="0" fontId="3" fillId="0" borderId="0" xfId="0" applyFont="1" applyProtection="1">
      <protection hidden="1"/>
    </xf>
    <xf numFmtId="0" fontId="9" fillId="0" borderId="5" xfId="0" applyFont="1" applyBorder="1" applyProtection="1">
      <protection hidden="1"/>
    </xf>
    <xf numFmtId="0" fontId="9" fillId="0" borderId="0" xfId="0" applyFont="1" applyProtection="1">
      <protection hidden="1"/>
    </xf>
    <xf numFmtId="164" fontId="9" fillId="0" borderId="0" xfId="0" applyNumberFormat="1" applyFont="1" applyProtection="1">
      <protection hidden="1"/>
    </xf>
    <xf numFmtId="0" fontId="10" fillId="0" borderId="0" xfId="0" applyFont="1" applyProtection="1">
      <protection hidden="1"/>
    </xf>
    <xf numFmtId="0" fontId="11" fillId="0" borderId="0" xfId="0" applyFont="1" applyProtection="1">
      <protection hidden="1"/>
    </xf>
    <xf numFmtId="2" fontId="11" fillId="0" borderId="0" xfId="0" applyNumberFormat="1" applyFont="1" applyProtection="1">
      <protection hidden="1"/>
    </xf>
    <xf numFmtId="0" fontId="3" fillId="0" borderId="3" xfId="0" applyFont="1" applyBorder="1" applyProtection="1">
      <protection hidden="1"/>
    </xf>
    <xf numFmtId="165" fontId="3" fillId="0" borderId="3" xfId="0" applyNumberFormat="1" applyFont="1" applyBorder="1" applyProtection="1">
      <protection hidden="1"/>
    </xf>
    <xf numFmtId="0" fontId="3" fillId="0" borderId="1" xfId="0" applyFont="1" applyBorder="1" applyProtection="1">
      <protection hidden="1"/>
    </xf>
    <xf numFmtId="0" fontId="3" fillId="0" borderId="7" xfId="0" applyFont="1" applyBorder="1" applyProtection="1">
      <protection hidden="1"/>
    </xf>
    <xf numFmtId="0" fontId="5" fillId="0" borderId="14" xfId="0" applyFont="1" applyBorder="1" applyAlignment="1" applyProtection="1">
      <alignment horizontal="center" vertical="center" textRotation="90" wrapText="1"/>
      <protection hidden="1"/>
    </xf>
    <xf numFmtId="0" fontId="5" fillId="0" borderId="12" xfId="0" applyFont="1" applyBorder="1" applyAlignment="1" applyProtection="1">
      <alignment horizontal="center" vertical="center" textRotation="90" wrapText="1"/>
      <protection hidden="1"/>
    </xf>
    <xf numFmtId="0" fontId="0" fillId="0" borderId="0" xfId="0" applyProtection="1">
      <protection hidden="1"/>
    </xf>
    <xf numFmtId="0" fontId="0" fillId="0" borderId="5" xfId="0" applyBorder="1" applyProtection="1">
      <protection hidden="1"/>
    </xf>
    <xf numFmtId="0" fontId="0" fillId="0" borderId="3" xfId="0" applyBorder="1" applyProtection="1">
      <protection hidden="1"/>
    </xf>
    <xf numFmtId="0" fontId="19" fillId="0" borderId="2" xfId="0" applyFont="1" applyBorder="1" applyAlignment="1" applyProtection="1">
      <alignment horizontal="right" vertical="center"/>
      <protection hidden="1"/>
    </xf>
    <xf numFmtId="165" fontId="19" fillId="0" borderId="9" xfId="0" applyNumberFormat="1" applyFont="1" applyBorder="1" applyAlignment="1" applyProtection="1">
      <alignment horizontal="left"/>
      <protection hidden="1"/>
    </xf>
    <xf numFmtId="0" fontId="20" fillId="0" borderId="9" xfId="0" applyFont="1" applyBorder="1" applyAlignment="1" applyProtection="1">
      <alignment horizontal="left"/>
      <protection hidden="1"/>
    </xf>
    <xf numFmtId="0" fontId="0" fillId="0" borderId="10" xfId="0" applyBorder="1" applyProtection="1">
      <protection hidden="1"/>
    </xf>
    <xf numFmtId="0" fontId="0" fillId="0" borderId="4" xfId="0" applyBorder="1" applyProtection="1">
      <protection hidden="1"/>
    </xf>
    <xf numFmtId="0" fontId="0" fillId="0" borderId="6" xfId="0" applyBorder="1" applyProtection="1">
      <protection hidden="1"/>
    </xf>
    <xf numFmtId="0" fontId="0" fillId="0" borderId="8" xfId="0" applyBorder="1" applyProtection="1">
      <protection hidden="1"/>
    </xf>
    <xf numFmtId="0" fontId="0" fillId="0" borderId="1" xfId="0" applyBorder="1" applyProtection="1">
      <protection hidden="1"/>
    </xf>
    <xf numFmtId="0" fontId="6" fillId="0" borderId="1" xfId="0" applyFont="1" applyBorder="1" applyAlignment="1" applyProtection="1">
      <alignment horizontal="center" wrapText="1"/>
      <protection hidden="1"/>
    </xf>
    <xf numFmtId="164" fontId="21" fillId="0" borderId="1" xfId="0" applyNumberFormat="1" applyFont="1" applyBorder="1" applyAlignment="1" applyProtection="1">
      <alignment horizontal="center" wrapText="1"/>
      <protection hidden="1"/>
    </xf>
    <xf numFmtId="164" fontId="22" fillId="0" borderId="1" xfId="0" applyNumberFormat="1" applyFont="1" applyBorder="1" applyAlignment="1" applyProtection="1">
      <alignment horizontal="center" wrapText="1"/>
      <protection hidden="1"/>
    </xf>
    <xf numFmtId="0" fontId="6" fillId="0" borderId="7" xfId="0" applyFont="1" applyBorder="1" applyAlignment="1" applyProtection="1">
      <alignment horizontal="center" wrapText="1"/>
      <protection hidden="1"/>
    </xf>
    <xf numFmtId="0" fontId="6" fillId="0" borderId="0" xfId="0" applyFont="1" applyAlignment="1" applyProtection="1">
      <alignment horizontal="center" wrapText="1"/>
      <protection hidden="1"/>
    </xf>
    <xf numFmtId="164" fontId="21" fillId="0" borderId="0" xfId="0" applyNumberFormat="1" applyFont="1" applyAlignment="1" applyProtection="1">
      <alignment horizontal="center" wrapText="1"/>
      <protection hidden="1"/>
    </xf>
    <xf numFmtId="164" fontId="22" fillId="0" borderId="0" xfId="0" applyNumberFormat="1" applyFont="1" applyAlignment="1" applyProtection="1">
      <alignment horizontal="center" wrapText="1"/>
      <protection hidden="1"/>
    </xf>
    <xf numFmtId="0" fontId="6" fillId="0" borderId="3" xfId="0" applyFont="1" applyBorder="1" applyAlignment="1" applyProtection="1">
      <alignment horizontal="center" wrapText="1"/>
      <protection hidden="1"/>
    </xf>
    <xf numFmtId="0" fontId="23" fillId="0" borderId="16" xfId="0" applyFont="1" applyBorder="1" applyAlignment="1" applyProtection="1">
      <alignment horizontal="center" vertical="center" textRotation="90" wrapText="1"/>
      <protection hidden="1"/>
    </xf>
    <xf numFmtId="2" fontId="25" fillId="0" borderId="4" xfId="0" applyNumberFormat="1" applyFont="1" applyBorder="1" applyAlignment="1" applyProtection="1">
      <alignment vertical="center"/>
      <protection hidden="1"/>
    </xf>
    <xf numFmtId="0" fontId="5" fillId="0" borderId="4" xfId="0" applyFont="1" applyBorder="1" applyAlignment="1" applyProtection="1">
      <alignment horizontal="center" vertical="center"/>
      <protection hidden="1"/>
    </xf>
    <xf numFmtId="2" fontId="24" fillId="0" borderId="6" xfId="0" applyNumberFormat="1" applyFont="1" applyBorder="1" applyAlignment="1" applyProtection="1">
      <alignment vertical="center"/>
      <protection hidden="1"/>
    </xf>
    <xf numFmtId="0" fontId="23" fillId="0" borderId="14" xfId="0" applyFont="1" applyBorder="1" applyAlignment="1" applyProtection="1">
      <alignment horizontal="center" vertical="center" textRotation="90" wrapText="1"/>
      <protection hidden="1"/>
    </xf>
    <xf numFmtId="2" fontId="25" fillId="0" borderId="0" xfId="0" applyNumberFormat="1" applyFont="1" applyAlignment="1" applyProtection="1">
      <alignment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2" fontId="24" fillId="0" borderId="3" xfId="0" applyNumberFormat="1" applyFont="1" applyBorder="1" applyAlignment="1" applyProtection="1">
      <alignment vertical="center"/>
      <protection hidden="1"/>
    </xf>
    <xf numFmtId="0" fontId="4" fillId="0" borderId="16" xfId="0" applyFont="1" applyBorder="1" applyAlignment="1" applyProtection="1">
      <alignment horizontal="center" vertical="center" textRotation="90" wrapText="1"/>
      <protection hidden="1"/>
    </xf>
    <xf numFmtId="2" fontId="27" fillId="0" borderId="0" xfId="0" applyNumberFormat="1" applyFont="1" applyAlignment="1" applyProtection="1">
      <alignment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2" fontId="26" fillId="0" borderId="3" xfId="0" applyNumberFormat="1" applyFont="1" applyBorder="1" applyAlignment="1" applyProtection="1">
      <alignment vertical="center"/>
      <protection hidden="1"/>
    </xf>
    <xf numFmtId="0" fontId="0" fillId="0" borderId="12" xfId="0" applyBorder="1" applyAlignment="1" applyProtection="1">
      <alignment horizontal="center" vertical="center" textRotation="90" wrapText="1"/>
      <protection hidden="1"/>
    </xf>
    <xf numFmtId="2" fontId="27" fillId="0" borderId="1" xfId="0" applyNumberFormat="1" applyFont="1" applyBorder="1" applyAlignment="1" applyProtection="1">
      <alignment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2" fontId="26" fillId="0" borderId="7" xfId="0" applyNumberFormat="1" applyFont="1" applyBorder="1" applyAlignment="1" applyProtection="1">
      <alignment vertical="center"/>
      <protection hidden="1"/>
    </xf>
    <xf numFmtId="2" fontId="25" fillId="0" borderId="1" xfId="0" applyNumberFormat="1" applyFont="1" applyBorder="1" applyAlignment="1" applyProtection="1">
      <alignment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2" fontId="24" fillId="0" borderId="7" xfId="0" applyNumberFormat="1" applyFont="1" applyBorder="1" applyAlignment="1" applyProtection="1">
      <alignment vertical="center"/>
      <protection hidden="1"/>
    </xf>
    <xf numFmtId="2" fontId="27" fillId="0" borderId="4" xfId="0" applyNumberFormat="1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horizontal="center" vertical="center"/>
      <protection hidden="1"/>
    </xf>
    <xf numFmtId="2" fontId="26" fillId="0" borderId="6" xfId="0" applyNumberFormat="1" applyFont="1" applyBorder="1" applyAlignment="1" applyProtection="1">
      <alignment vertical="center"/>
      <protection hidden="1"/>
    </xf>
    <xf numFmtId="0" fontId="0" fillId="0" borderId="14" xfId="0" applyBorder="1" applyAlignment="1" applyProtection="1">
      <alignment horizontal="center" vertical="center" textRotation="90" wrapText="1"/>
      <protection hidden="1"/>
    </xf>
    <xf numFmtId="0" fontId="30" fillId="0" borderId="2" xfId="0" applyFont="1" applyBorder="1" applyAlignment="1" applyProtection="1">
      <alignment horizontal="left" vertical="center" indent="1"/>
      <protection hidden="1"/>
    </xf>
    <xf numFmtId="0" fontId="0" fillId="0" borderId="13" xfId="0" applyBorder="1" applyProtection="1">
      <protection hidden="1"/>
    </xf>
    <xf numFmtId="10" fontId="0" fillId="0" borderId="13" xfId="0" applyNumberFormat="1" applyBorder="1" applyProtection="1">
      <protection hidden="1"/>
    </xf>
    <xf numFmtId="0" fontId="30" fillId="0" borderId="13" xfId="0" applyFont="1" applyBorder="1" applyAlignment="1" applyProtection="1">
      <alignment vertical="center"/>
      <protection hidden="1"/>
    </xf>
    <xf numFmtId="0" fontId="0" fillId="0" borderId="9" xfId="0" applyBorder="1" applyProtection="1">
      <protection hidden="1"/>
    </xf>
    <xf numFmtId="2" fontId="19" fillId="0" borderId="9" xfId="0" applyNumberFormat="1" applyFont="1" applyBorder="1" applyAlignment="1" applyProtection="1">
      <alignment horizontal="left"/>
      <protection hidden="1"/>
    </xf>
    <xf numFmtId="0" fontId="20" fillId="0" borderId="1" xfId="0" applyFont="1" applyBorder="1" applyAlignment="1" applyProtection="1">
      <alignment horizontal="right"/>
      <protection hidden="1"/>
    </xf>
    <xf numFmtId="0" fontId="20" fillId="0" borderId="1" xfId="0" applyFont="1" applyBorder="1" applyAlignment="1" applyProtection="1">
      <alignment horizontal="left"/>
      <protection hidden="1"/>
    </xf>
    <xf numFmtId="14" fontId="20" fillId="0" borderId="1" xfId="0" applyNumberFormat="1" applyFont="1" applyBorder="1" applyAlignment="1" applyProtection="1">
      <alignment horizontal="left"/>
      <protection hidden="1"/>
    </xf>
    <xf numFmtId="0" fontId="0" fillId="0" borderId="7" xfId="0" applyBorder="1" applyProtection="1">
      <protection hidden="1"/>
    </xf>
    <xf numFmtId="0" fontId="0" fillId="3" borderId="5" xfId="0" applyFill="1" applyBorder="1" applyProtection="1">
      <protection hidden="1"/>
    </xf>
    <xf numFmtId="0" fontId="0" fillId="3" borderId="0" xfId="0" applyFill="1" applyProtection="1">
      <protection hidden="1"/>
    </xf>
    <xf numFmtId="165" fontId="0" fillId="3" borderId="0" xfId="0" applyNumberFormat="1" applyFill="1" applyProtection="1">
      <protection hidden="1"/>
    </xf>
    <xf numFmtId="0" fontId="0" fillId="4" borderId="15" xfId="0" applyFill="1" applyBorder="1" applyProtection="1">
      <protection hidden="1"/>
    </xf>
    <xf numFmtId="0" fontId="0" fillId="4" borderId="0" xfId="0" applyFill="1" applyProtection="1">
      <protection hidden="1"/>
    </xf>
    <xf numFmtId="165" fontId="0" fillId="4" borderId="0" xfId="0" applyNumberFormat="1" applyFill="1" applyProtection="1">
      <protection hidden="1"/>
    </xf>
    <xf numFmtId="0" fontId="0" fillId="5" borderId="15" xfId="0" applyFill="1" applyBorder="1" applyProtection="1">
      <protection hidden="1"/>
    </xf>
    <xf numFmtId="0" fontId="0" fillId="5" borderId="0" xfId="0" applyFill="1" applyProtection="1">
      <protection hidden="1"/>
    </xf>
    <xf numFmtId="165" fontId="0" fillId="5" borderId="0" xfId="0" applyNumberFormat="1" applyFill="1" applyProtection="1">
      <protection hidden="1"/>
    </xf>
    <xf numFmtId="0" fontId="2" fillId="0" borderId="10" xfId="0" applyFont="1" applyBorder="1" applyAlignment="1" applyProtection="1">
      <alignment horizontal="left" vertical="center"/>
      <protection hidden="1"/>
    </xf>
    <xf numFmtId="0" fontId="2" fillId="0" borderId="5" xfId="0" applyFont="1" applyBorder="1" applyAlignment="1" applyProtection="1">
      <alignment horizontal="left" vertical="center" indent="2"/>
      <protection hidden="1"/>
    </xf>
    <xf numFmtId="0" fontId="2" fillId="0" borderId="5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9" fillId="0" borderId="10" xfId="0" applyFont="1" applyBorder="1" applyAlignment="1" applyProtection="1">
      <alignment horizontal="center" vertical="center"/>
      <protection hidden="1"/>
    </xf>
    <xf numFmtId="0" fontId="33" fillId="0" borderId="4" xfId="0" applyFont="1" applyBorder="1" applyAlignment="1" applyProtection="1">
      <alignment horizontal="center" vertical="center"/>
      <protection hidden="1"/>
    </xf>
    <xf numFmtId="0" fontId="31" fillId="0" borderId="4" xfId="0" applyFont="1" applyBorder="1" applyAlignment="1" applyProtection="1">
      <alignment horizontal="center" vertical="center"/>
      <protection hidden="1"/>
    </xf>
    <xf numFmtId="0" fontId="0" fillId="0" borderId="4" xfId="0" applyBorder="1" applyProtection="1">
      <protection locked="0" hidden="1"/>
    </xf>
    <xf numFmtId="165" fontId="34" fillId="0" borderId="5" xfId="0" applyNumberFormat="1" applyFont="1" applyBorder="1" applyAlignment="1" applyProtection="1">
      <alignment horizontal="center" vertical="center"/>
      <protection hidden="1"/>
    </xf>
    <xf numFmtId="165" fontId="35" fillId="0" borderId="0" xfId="0" applyNumberFormat="1" applyFont="1" applyAlignment="1" applyProtection="1">
      <alignment horizontal="center" vertical="center"/>
      <protection hidden="1"/>
    </xf>
    <xf numFmtId="165" fontId="36" fillId="0" borderId="0" xfId="0" applyNumberFormat="1" applyFont="1" applyAlignment="1" applyProtection="1">
      <alignment horizontal="center" vertical="center"/>
      <protection hidden="1"/>
    </xf>
    <xf numFmtId="0" fontId="0" fillId="0" borderId="0" xfId="0" applyProtection="1">
      <protection locked="0" hidden="1"/>
    </xf>
    <xf numFmtId="165" fontId="34" fillId="0" borderId="8" xfId="0" applyNumberFormat="1" applyFont="1" applyBorder="1" applyAlignment="1" applyProtection="1">
      <alignment horizontal="center" vertical="center"/>
      <protection locked="0" hidden="1"/>
    </xf>
    <xf numFmtId="165" fontId="35" fillId="0" borderId="1" xfId="0" applyNumberFormat="1" applyFont="1" applyBorder="1" applyAlignment="1" applyProtection="1">
      <alignment horizontal="center" vertical="center"/>
      <protection locked="0" hidden="1"/>
    </xf>
    <xf numFmtId="165" fontId="36" fillId="0" borderId="1" xfId="0" applyNumberFormat="1" applyFont="1" applyBorder="1" applyAlignment="1" applyProtection="1">
      <alignment horizontal="center" vertical="center"/>
      <protection locked="0" hidden="1"/>
    </xf>
    <xf numFmtId="0" fontId="0" fillId="0" borderId="1" xfId="0" applyBorder="1" applyProtection="1">
      <protection locked="0" hidden="1"/>
    </xf>
    <xf numFmtId="0" fontId="37" fillId="0" borderId="0" xfId="0" applyFont="1" applyProtection="1">
      <protection hidden="1"/>
    </xf>
    <xf numFmtId="0" fontId="9" fillId="0" borderId="0" xfId="0" applyFont="1" applyAlignment="1" applyProtection="1">
      <alignment horizontal="center"/>
      <protection hidden="1"/>
    </xf>
    <xf numFmtId="0" fontId="33" fillId="0" borderId="0" xfId="0" applyFont="1" applyAlignment="1" applyProtection="1">
      <alignment horizontal="center"/>
      <protection hidden="1"/>
    </xf>
    <xf numFmtId="0" fontId="31" fillId="0" borderId="0" xfId="0" applyFont="1" applyAlignment="1" applyProtection="1">
      <alignment horizontal="center"/>
      <protection hidden="1"/>
    </xf>
    <xf numFmtId="165" fontId="34" fillId="0" borderId="1" xfId="0" applyNumberFormat="1" applyFont="1" applyBorder="1" applyAlignment="1" applyProtection="1">
      <alignment horizontal="center" vertical="top"/>
      <protection hidden="1"/>
    </xf>
    <xf numFmtId="165" fontId="35" fillId="0" borderId="1" xfId="0" applyNumberFormat="1" applyFont="1" applyBorder="1" applyAlignment="1" applyProtection="1">
      <alignment horizontal="center" vertical="top"/>
      <protection hidden="1"/>
    </xf>
    <xf numFmtId="165" fontId="36" fillId="0" borderId="1" xfId="0" applyNumberFormat="1" applyFont="1" applyBorder="1" applyAlignment="1" applyProtection="1">
      <alignment horizontal="center" vertical="top"/>
      <protection hidden="1"/>
    </xf>
    <xf numFmtId="0" fontId="0" fillId="0" borderId="12" xfId="0" applyBorder="1" applyProtection="1">
      <protection hidden="1"/>
    </xf>
    <xf numFmtId="0" fontId="2" fillId="0" borderId="4" xfId="0" applyFont="1" applyBorder="1" applyProtection="1">
      <protection hidden="1"/>
    </xf>
    <xf numFmtId="0" fontId="2" fillId="0" borderId="0" xfId="0" applyFont="1" applyProtection="1">
      <protection hidden="1"/>
    </xf>
    <xf numFmtId="0" fontId="12" fillId="2" borderId="11" xfId="0" applyFont="1" applyFill="1" applyBorder="1" applyAlignment="1" applyProtection="1">
      <alignment horizontal="center" vertical="center" wrapText="1"/>
      <protection hidden="1"/>
    </xf>
    <xf numFmtId="0" fontId="20" fillId="0" borderId="4" xfId="0" applyFont="1" applyBorder="1" applyAlignment="1" applyProtection="1">
      <alignment horizontal="left" vertical="center" indent="2"/>
      <protection hidden="1"/>
    </xf>
    <xf numFmtId="0" fontId="20" fillId="0" borderId="4" xfId="0" applyFont="1" applyBorder="1" applyAlignment="1" applyProtection="1">
      <alignment vertical="center"/>
      <protection hidden="1"/>
    </xf>
    <xf numFmtId="165" fontId="20" fillId="0" borderId="4" xfId="0" applyNumberFormat="1" applyFont="1" applyBorder="1" applyAlignment="1" applyProtection="1">
      <alignment vertical="center"/>
      <protection hidden="1"/>
    </xf>
    <xf numFmtId="2" fontId="41" fillId="0" borderId="4" xfId="0" applyNumberFormat="1" applyFont="1" applyBorder="1" applyAlignment="1" applyProtection="1">
      <alignment vertical="center"/>
      <protection hidden="1"/>
    </xf>
    <xf numFmtId="0" fontId="20" fillId="0" borderId="0" xfId="0" applyFont="1" applyAlignment="1" applyProtection="1">
      <alignment horizontal="left" vertical="center" indent="2"/>
      <protection hidden="1"/>
    </xf>
    <xf numFmtId="0" fontId="20" fillId="0" borderId="0" xfId="0" applyFont="1" applyAlignment="1" applyProtection="1">
      <alignment vertical="center"/>
      <protection hidden="1"/>
    </xf>
    <xf numFmtId="165" fontId="20" fillId="0" borderId="0" xfId="0" applyNumberFormat="1" applyFont="1" applyAlignment="1" applyProtection="1">
      <alignment vertical="center"/>
      <protection hidden="1"/>
    </xf>
    <xf numFmtId="2" fontId="41" fillId="0" borderId="0" xfId="0" applyNumberFormat="1" applyFont="1" applyAlignment="1" applyProtection="1">
      <alignment vertical="center"/>
      <protection hidden="1"/>
    </xf>
    <xf numFmtId="0" fontId="20" fillId="0" borderId="1" xfId="0" applyFont="1" applyBorder="1" applyAlignment="1" applyProtection="1">
      <alignment horizontal="left" vertical="center" indent="2"/>
      <protection hidden="1"/>
    </xf>
    <xf numFmtId="0" fontId="20" fillId="0" borderId="1" xfId="0" applyFont="1" applyBorder="1" applyAlignment="1" applyProtection="1">
      <alignment vertical="center"/>
      <protection hidden="1"/>
    </xf>
    <xf numFmtId="165" fontId="20" fillId="0" borderId="1" xfId="0" applyNumberFormat="1" applyFont="1" applyBorder="1" applyAlignment="1" applyProtection="1">
      <alignment vertical="center"/>
      <protection hidden="1"/>
    </xf>
    <xf numFmtId="2" fontId="41" fillId="0" borderId="1" xfId="0" applyNumberFormat="1" applyFont="1" applyBorder="1" applyAlignment="1" applyProtection="1">
      <alignment vertical="center"/>
      <protection hidden="1"/>
    </xf>
    <xf numFmtId="165" fontId="0" fillId="0" borderId="4" xfId="0" applyNumberFormat="1" applyBorder="1" applyAlignment="1" applyProtection="1">
      <alignment horizontal="right"/>
      <protection hidden="1"/>
    </xf>
    <xf numFmtId="165" fontId="0" fillId="0" borderId="0" xfId="0" applyNumberFormat="1" applyAlignment="1" applyProtection="1">
      <alignment horizontal="right"/>
      <protection hidden="1"/>
    </xf>
    <xf numFmtId="0" fontId="0" fillId="0" borderId="0" xfId="0" applyAlignment="1" applyProtection="1">
      <alignment horizontal="right"/>
      <protection hidden="1"/>
    </xf>
    <xf numFmtId="1" fontId="0" fillId="0" borderId="0" xfId="0" applyNumberFormat="1" applyAlignment="1" applyProtection="1">
      <alignment horizontal="right"/>
      <protection hidden="1"/>
    </xf>
    <xf numFmtId="0" fontId="43" fillId="0" borderId="4" xfId="0" applyFont="1" applyBorder="1" applyAlignment="1" applyProtection="1">
      <alignment horizontal="right"/>
      <protection locked="0" hidden="1"/>
    </xf>
    <xf numFmtId="2" fontId="43" fillId="0" borderId="6" xfId="0" applyNumberFormat="1" applyFont="1" applyBorder="1" applyAlignment="1" applyProtection="1">
      <alignment horizontal="left"/>
      <protection locked="0" hidden="1"/>
    </xf>
    <xf numFmtId="0" fontId="2" fillId="0" borderId="0" xfId="0" applyFont="1" applyAlignment="1" applyProtection="1">
      <alignment horizontal="left"/>
      <protection locked="0" hidden="1"/>
    </xf>
    <xf numFmtId="2" fontId="2" fillId="0" borderId="3" xfId="0" applyNumberFormat="1" applyFont="1" applyBorder="1" applyAlignment="1" applyProtection="1">
      <alignment horizontal="left"/>
      <protection locked="0" hidden="1"/>
    </xf>
    <xf numFmtId="165" fontId="2" fillId="0" borderId="1" xfId="0" applyNumberFormat="1" applyFont="1" applyBorder="1" applyAlignment="1" applyProtection="1">
      <alignment horizontal="right"/>
      <protection locked="0" hidden="1"/>
    </xf>
    <xf numFmtId="2" fontId="2" fillId="0" borderId="7" xfId="0" applyNumberFormat="1" applyFont="1" applyBorder="1" applyAlignment="1" applyProtection="1">
      <alignment horizontal="left"/>
      <protection locked="0" hidden="1"/>
    </xf>
    <xf numFmtId="0" fontId="19" fillId="0" borderId="13" xfId="0" applyFont="1" applyBorder="1" applyAlignment="1" applyProtection="1">
      <alignment horizontal="left" vertical="center"/>
      <protection hidden="1"/>
    </xf>
    <xf numFmtId="0" fontId="19" fillId="0" borderId="9" xfId="0" applyFont="1" applyBorder="1" applyAlignment="1" applyProtection="1">
      <alignment horizontal="left" vertical="center"/>
      <protection hidden="1"/>
    </xf>
    <xf numFmtId="0" fontId="20" fillId="0" borderId="2" xfId="0" applyFont="1" applyBorder="1" applyAlignment="1" applyProtection="1">
      <alignment horizontal="right"/>
      <protection hidden="1"/>
    </xf>
    <xf numFmtId="0" fontId="20" fillId="0" borderId="13" xfId="0" applyFont="1" applyBorder="1" applyAlignment="1" applyProtection="1">
      <alignment horizontal="right"/>
      <protection hidden="1"/>
    </xf>
    <xf numFmtId="14" fontId="20" fillId="0" borderId="13" xfId="0" applyNumberFormat="1" applyFont="1" applyBorder="1" applyAlignment="1" applyProtection="1">
      <alignment horizontal="left"/>
      <protection hidden="1"/>
    </xf>
    <xf numFmtId="14" fontId="20" fillId="0" borderId="9" xfId="0" applyNumberFormat="1" applyFont="1" applyBorder="1" applyAlignment="1" applyProtection="1">
      <alignment horizontal="left"/>
      <protection hidden="1"/>
    </xf>
    <xf numFmtId="0" fontId="2" fillId="0" borderId="12" xfId="0" applyFont="1" applyBorder="1" applyAlignment="1" applyProtection="1">
      <alignment horizontal="center" vertical="center" textRotation="180" wrapText="1"/>
      <protection hidden="1"/>
    </xf>
    <xf numFmtId="0" fontId="2" fillId="0" borderId="11" xfId="0" applyFont="1" applyBorder="1" applyAlignment="1" applyProtection="1">
      <alignment horizontal="center" vertical="center" textRotation="180" wrapText="1"/>
      <protection hidden="1"/>
    </xf>
    <xf numFmtId="0" fontId="12" fillId="0" borderId="11" xfId="0" applyFont="1" applyBorder="1" applyAlignment="1" applyProtection="1">
      <alignment horizontal="center" vertical="center" wrapText="1"/>
      <protection hidden="1"/>
    </xf>
    <xf numFmtId="0" fontId="38" fillId="2" borderId="12" xfId="0" applyFont="1" applyFill="1" applyBorder="1" applyAlignment="1" applyProtection="1">
      <alignment horizontal="center" vertical="center"/>
      <protection hidden="1"/>
    </xf>
    <xf numFmtId="0" fontId="2" fillId="0" borderId="10" xfId="0" applyFont="1" applyBorder="1" applyAlignment="1" applyProtection="1">
      <alignment horizontal="center" vertical="center"/>
      <protection hidden="1"/>
    </xf>
    <xf numFmtId="0" fontId="2" fillId="0" borderId="4" xfId="0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5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9" fillId="0" borderId="6" xfId="0" applyFont="1" applyBorder="1" applyAlignment="1" applyProtection="1">
      <alignment horizontal="right" vertical="center" textRotation="180" wrapText="1"/>
      <protection hidden="1"/>
    </xf>
    <xf numFmtId="0" fontId="29" fillId="0" borderId="3" xfId="0" applyFont="1" applyBorder="1" applyAlignment="1" applyProtection="1">
      <alignment horizontal="right" vertical="center" textRotation="180" wrapText="1"/>
      <protection hidden="1"/>
    </xf>
    <xf numFmtId="0" fontId="29" fillId="0" borderId="7" xfId="0" applyFont="1" applyBorder="1" applyAlignment="1" applyProtection="1">
      <alignment horizontal="right" vertical="center" textRotation="180" wrapText="1"/>
      <protection hidden="1"/>
    </xf>
    <xf numFmtId="10" fontId="30" fillId="0" borderId="13" xfId="1" applyNumberFormat="1" applyFont="1" applyBorder="1" applyAlignment="1" applyProtection="1">
      <alignment horizontal="center" vertical="center"/>
      <protection hidden="1"/>
    </xf>
    <xf numFmtId="0" fontId="28" fillId="0" borderId="10" xfId="0" applyFont="1" applyBorder="1" applyAlignment="1" applyProtection="1">
      <alignment horizontal="left" vertical="center" textRotation="90" wrapText="1"/>
      <protection hidden="1"/>
    </xf>
    <xf numFmtId="0" fontId="28" fillId="0" borderId="5" xfId="0" applyFont="1" applyBorder="1" applyAlignment="1" applyProtection="1">
      <alignment horizontal="left" vertical="center" textRotation="90" wrapText="1"/>
      <protection hidden="1"/>
    </xf>
    <xf numFmtId="0" fontId="28" fillId="0" borderId="8" xfId="0" applyFont="1" applyBorder="1" applyAlignment="1" applyProtection="1">
      <alignment horizontal="left" vertical="center" textRotation="90" wrapText="1"/>
      <protection hidden="1"/>
    </xf>
    <xf numFmtId="0" fontId="16" fillId="0" borderId="2" xfId="0" applyFont="1" applyBorder="1" applyAlignment="1" applyProtection="1">
      <alignment horizontal="center" vertical="center" wrapText="1"/>
      <protection hidden="1"/>
    </xf>
    <xf numFmtId="0" fontId="16" fillId="0" borderId="13" xfId="0" applyFont="1" applyBorder="1" applyAlignment="1" applyProtection="1">
      <alignment horizontal="center" vertical="center" wrapText="1"/>
      <protection hidden="1"/>
    </xf>
    <xf numFmtId="0" fontId="16" fillId="0" borderId="9" xfId="0" applyFont="1" applyBorder="1" applyAlignment="1" applyProtection="1">
      <alignment horizontal="center" vertical="center" wrapText="1"/>
      <protection hidden="1"/>
    </xf>
    <xf numFmtId="0" fontId="17" fillId="0" borderId="11" xfId="0" applyFont="1" applyBorder="1" applyAlignment="1" applyProtection="1">
      <alignment horizontal="center" vertical="center" wrapText="1"/>
      <protection hidden="1"/>
    </xf>
    <xf numFmtId="164" fontId="22" fillId="0" borderId="1" xfId="0" applyNumberFormat="1" applyFont="1" applyBorder="1" applyAlignment="1" applyProtection="1">
      <alignment horizontal="left" wrapText="1"/>
      <protection hidden="1"/>
    </xf>
    <xf numFmtId="0" fontId="12" fillId="0" borderId="2" xfId="0" applyFont="1" applyBorder="1" applyAlignment="1" applyProtection="1">
      <alignment horizontal="center" vertical="center" wrapText="1"/>
      <protection hidden="1"/>
    </xf>
    <xf numFmtId="0" fontId="12" fillId="0" borderId="9" xfId="0" applyFont="1" applyBorder="1" applyAlignment="1" applyProtection="1">
      <alignment horizontal="center" vertical="center" wrapText="1"/>
      <protection hidden="1"/>
    </xf>
    <xf numFmtId="0" fontId="38" fillId="2" borderId="2" xfId="0" applyFont="1" applyFill="1" applyBorder="1" applyAlignment="1" applyProtection="1">
      <alignment horizontal="center" vertical="center"/>
      <protection hidden="1"/>
    </xf>
    <xf numFmtId="0" fontId="38" fillId="2" borderId="9" xfId="0" applyFont="1" applyFill="1" applyBorder="1" applyAlignment="1" applyProtection="1">
      <alignment horizontal="center" vertical="center"/>
      <protection hidden="1"/>
    </xf>
  </cellXfs>
  <cellStyles count="31">
    <cellStyle name="Hipervínculo" xfId="25" builtinId="8" hidden="1"/>
    <cellStyle name="Hipervínculo" xfId="27" builtinId="8" hidden="1"/>
    <cellStyle name="Hipervínculo" xfId="23" builtinId="8" hidden="1"/>
    <cellStyle name="Hipervínculo" xfId="29" builtinId="8" hidden="1"/>
    <cellStyle name="Hipervínculo" xfId="11" builtinId="8" hidden="1"/>
    <cellStyle name="Hipervínculo" xfId="13" builtinId="8" hidden="1"/>
    <cellStyle name="Hipervínculo" xfId="21" builtinId="8" hidden="1"/>
    <cellStyle name="Hipervínculo" xfId="17" builtinId="8" hidden="1"/>
    <cellStyle name="Hipervínculo" xfId="19" builtinId="8" hidden="1"/>
    <cellStyle name="Hipervínculo" xfId="15" builtinId="8" hidden="1"/>
    <cellStyle name="Hipervínculo" xfId="3" builtinId="8" hidden="1"/>
    <cellStyle name="Hipervínculo" xfId="9" builtinId="8" hidden="1"/>
    <cellStyle name="Hipervínculo" xfId="5" builtinId="8" hidden="1"/>
    <cellStyle name="Hipervínculo" xfId="7" builtinId="8" hidden="1"/>
    <cellStyle name="Hipervínculo visitado" xfId="4" builtinId="9" hidden="1"/>
    <cellStyle name="Hipervínculo visitado" xfId="12" builtinId="9" hidden="1"/>
    <cellStyle name="Hipervínculo visitado" xfId="26" builtinId="9" hidden="1"/>
    <cellStyle name="Hipervínculo visitado" xfId="28" builtinId="9" hidden="1"/>
    <cellStyle name="Hipervínculo visitado" xfId="18" builtinId="9" hidden="1"/>
    <cellStyle name="Hipervínculo visitado" xfId="20" builtinId="9" hidden="1"/>
    <cellStyle name="Hipervínculo visitado" xfId="16" builtinId="9" hidden="1"/>
    <cellStyle name="Hipervínculo visitado" xfId="24" builtinId="9" hidden="1"/>
    <cellStyle name="Hipervínculo visitado" xfId="14" builtinId="9" hidden="1"/>
    <cellStyle name="Hipervínculo visitado" xfId="6" builtinId="9" hidden="1"/>
    <cellStyle name="Hipervínculo visitado" xfId="8" builtinId="9" hidden="1"/>
    <cellStyle name="Hipervínculo visitado" xfId="22" builtinId="9" hidden="1"/>
    <cellStyle name="Hipervínculo visitado" xfId="10" builtinId="9" hidden="1"/>
    <cellStyle name="Hipervínculo visitado" xfId="30" builtinId="9" hidden="1"/>
    <cellStyle name="Normal" xfId="0" builtinId="0"/>
    <cellStyle name="Percent 2" xfId="2" xr:uid="{00000000-0005-0000-0000-00001D000000}"/>
    <cellStyle name="Porcentaje" xfId="1" builtinId="5"/>
  </cellStyles>
  <dxfs count="2">
    <dxf>
      <font>
        <condense val="0"/>
        <extend val="0"/>
        <color indexed="10"/>
      </font>
    </dxf>
    <dxf>
      <font>
        <condense val="0"/>
        <extend val="0"/>
        <color indexed="17"/>
      </font>
    </dxf>
  </dxfs>
  <tableStyles count="0" defaultTableStyle="TableStyleMedium9" defaultPivotStyle="PivotStyleLight16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8149680680786636E-2"/>
          <c:y val="2.9036755844409987E-2"/>
          <c:w val="0.95131869318068896"/>
          <c:h val="0.97081942623017004"/>
        </c:manualLayout>
      </c:layout>
      <c:scatterChart>
        <c:scatterStyle val="lineMarker"/>
        <c:varyColors val="0"/>
        <c:ser>
          <c:idx val="0"/>
          <c:order val="0"/>
          <c:tx>
            <c:strRef>
              <c:f>'INFORME IMPRIMIR (2)'!$J$78</c:f>
              <c:strCache>
                <c:ptCount val="1"/>
                <c:pt idx="0">
                  <c:v>X (ecto-endo):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D4"/>
              </a:solidFill>
              <a:ln w="9525">
                <a:noFill/>
              </a:ln>
            </c:spPr>
          </c:marker>
          <c:xVal>
            <c:numRef>
              <c:f>'INFORME IMPRIMIR (2)'!$K$78</c:f>
              <c:numCache>
                <c:formatCode>0.00</c:formatCode>
                <c:ptCount val="1"/>
                <c:pt idx="0">
                  <c:v>2.2017413151181078</c:v>
                </c:pt>
              </c:numCache>
            </c:numRef>
          </c:xVal>
          <c:yVal>
            <c:numRef>
              <c:f>'INFORME IMPRIMIR (2)'!$K$79</c:f>
              <c:numCache>
                <c:formatCode>0.00</c:formatCode>
                <c:ptCount val="1"/>
                <c:pt idx="0">
                  <c:v>1.6918642693970387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B6-42D7-8B21-47232401E5F8}"/>
            </c:ext>
          </c:extLst>
        </c:ser>
        <c:ser>
          <c:idx val="1"/>
          <c:order val="1"/>
          <c:tx>
            <c:strRef>
              <c:f>'INFORME IMPRIMIR (2)'!$H$81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diamond"/>
            <c:size val="8"/>
            <c:spPr>
              <a:solidFill>
                <a:srgbClr val="DD0806"/>
              </a:solidFill>
              <a:ln w="9525">
                <a:noFill/>
              </a:ln>
            </c:spPr>
          </c:marker>
          <c:xVal>
            <c:numRef>
              <c:f>'INFORME IMPRIMIR (2)'!$K$83</c:f>
              <c:numCache>
                <c:formatCode>0.0</c:formatCode>
                <c:ptCount val="1"/>
              </c:numCache>
            </c:numRef>
          </c:xVal>
          <c:yVal>
            <c:numRef>
              <c:f>'INFORME IMPRIMIR (2)'!$K$84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B6-42D7-8B21-47232401E5F8}"/>
            </c:ext>
          </c:extLst>
        </c:ser>
        <c:ser>
          <c:idx val="2"/>
          <c:order val="2"/>
          <c:tx>
            <c:strRef>
              <c:f>'INFORME IMPRIMIR (2)'!$J$78</c:f>
              <c:strCache>
                <c:ptCount val="1"/>
                <c:pt idx="0">
                  <c:v>X (ecto-endo):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1FB714"/>
              </a:solidFill>
              <a:ln>
                <a:solidFill>
                  <a:srgbClr val="1FB714"/>
                </a:solidFill>
                <a:prstDash val="solid"/>
              </a:ln>
            </c:spPr>
          </c:marker>
          <c:xVal>
            <c:numRef>
              <c:f>'INFORME IMPRIMIR (2)'!$J$80</c:f>
              <c:numCache>
                <c:formatCode>0.0</c:formatCode>
                <c:ptCount val="1"/>
              </c:numCache>
            </c:numRef>
          </c:xVal>
          <c:yVal>
            <c:numRef>
              <c:f>'INFORME IMPRIMIR (2)'!$K$80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B6-42D7-8B21-47232401E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356480"/>
        <c:axId val="206358784"/>
      </c:scatterChart>
      <c:valAx>
        <c:axId val="206356480"/>
        <c:scaling>
          <c:orientation val="minMax"/>
          <c:max val="9"/>
          <c:min val="-9"/>
        </c:scaling>
        <c:delete val="0"/>
        <c:axPos val="b"/>
        <c:numFmt formatCode="0.00" sourceLinked="1"/>
        <c:majorTickMark val="out"/>
        <c:minorTickMark val="out"/>
        <c:tickLblPos val="none"/>
        <c:spPr>
          <a:ln w="9525">
            <a:noFill/>
          </a:ln>
        </c:spPr>
        <c:crossAx val="206358784"/>
        <c:crosses val="autoZero"/>
        <c:crossBetween val="midCat"/>
        <c:majorUnit val="1"/>
        <c:minorUnit val="1"/>
      </c:valAx>
      <c:valAx>
        <c:axId val="206358784"/>
        <c:scaling>
          <c:orientation val="minMax"/>
          <c:max val="16"/>
          <c:min val="-10"/>
        </c:scaling>
        <c:delete val="0"/>
        <c:axPos val="l"/>
        <c:numFmt formatCode="0.00" sourceLinked="1"/>
        <c:majorTickMark val="out"/>
        <c:minorTickMark val="in"/>
        <c:tickLblPos val="none"/>
        <c:spPr>
          <a:ln w="9525">
            <a:noFill/>
          </a:ln>
        </c:spPr>
        <c:crossAx val="206356480"/>
        <c:crosses val="autoZero"/>
        <c:crossBetween val="midCat"/>
        <c:majorUnit val="2"/>
        <c:min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1" l="0.75" r="0.75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380254</xdr:colOff>
      <xdr:row>49</xdr:row>
      <xdr:rowOff>130736</xdr:rowOff>
    </xdr:from>
    <xdr:to>
      <xdr:col>5</xdr:col>
      <xdr:colOff>618566</xdr:colOff>
      <xdr:row>70</xdr:row>
      <xdr:rowOff>8965</xdr:rowOff>
    </xdr:to>
    <xdr:graphicFrame macro="">
      <xdr:nvGraphicFramePr>
        <xdr:cNvPr id="3" name="Chart 81">
          <a:extLst>
            <a:ext uri="{FF2B5EF4-FFF2-40B4-BE49-F238E27FC236}">
              <a16:creationId xmlns:a16="http://schemas.microsoft.com/office/drawing/2014/main" id="{4EDDE99B-7A07-406F-84BE-1CC4DAB0AF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584835</xdr:colOff>
      <xdr:row>72</xdr:row>
      <xdr:rowOff>99695</xdr:rowOff>
    </xdr:from>
    <xdr:to>
      <xdr:col>2</xdr:col>
      <xdr:colOff>605890</xdr:colOff>
      <xdr:row>73</xdr:row>
      <xdr:rowOff>143238</xdr:rowOff>
    </xdr:to>
    <xdr:sp macro="" textlink="">
      <xdr:nvSpPr>
        <xdr:cNvPr id="4" name="Text Box 82">
          <a:extLst>
            <a:ext uri="{FF2B5EF4-FFF2-40B4-BE49-F238E27FC236}">
              <a16:creationId xmlns:a16="http://schemas.microsoft.com/office/drawing/2014/main" id="{3FDDB020-EC01-4E81-934A-CE1F44149DD5}"/>
            </a:ext>
          </a:extLst>
        </xdr:cNvPr>
        <xdr:cNvSpPr txBox="1">
          <a:spLocks noChangeArrowheads="1"/>
        </xdr:cNvSpPr>
      </xdr:nvSpPr>
      <xdr:spPr bwMode="auto">
        <a:xfrm>
          <a:off x="1293495" y="16025495"/>
          <a:ext cx="729715" cy="2111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AR" sz="800" b="1" i="0" u="none" strike="noStrike" baseline="0">
              <a:solidFill>
                <a:srgbClr val="FF9900"/>
              </a:solidFill>
              <a:latin typeface="Arial"/>
              <a:cs typeface="Arial"/>
            </a:rPr>
            <a:t>ENDOMORFO</a:t>
          </a:r>
        </a:p>
      </xdr:txBody>
    </xdr:sp>
    <xdr:clientData/>
  </xdr:twoCellAnchor>
  <xdr:twoCellAnchor editAs="oneCell">
    <xdr:from>
      <xdr:col>4</xdr:col>
      <xdr:colOff>495935</xdr:colOff>
      <xdr:row>53</xdr:row>
      <xdr:rowOff>48260</xdr:rowOff>
    </xdr:from>
    <xdr:to>
      <xdr:col>5</xdr:col>
      <xdr:colOff>668585</xdr:colOff>
      <xdr:row>54</xdr:row>
      <xdr:rowOff>38100</xdr:rowOff>
    </xdr:to>
    <xdr:sp macro="" textlink="">
      <xdr:nvSpPr>
        <xdr:cNvPr id="5" name="Text Box 83">
          <a:extLst>
            <a:ext uri="{FF2B5EF4-FFF2-40B4-BE49-F238E27FC236}">
              <a16:creationId xmlns:a16="http://schemas.microsoft.com/office/drawing/2014/main" id="{E785AFD9-2D18-4112-BD6A-CC9FEBBC6250}"/>
            </a:ext>
          </a:extLst>
        </xdr:cNvPr>
        <xdr:cNvSpPr txBox="1">
          <a:spLocks noChangeArrowheads="1"/>
        </xdr:cNvSpPr>
      </xdr:nvSpPr>
      <xdr:spPr bwMode="auto">
        <a:xfrm>
          <a:off x="3231515" y="12118340"/>
          <a:ext cx="873690" cy="157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3366FF"/>
              </a:solidFill>
              <a:latin typeface="Arial"/>
              <a:cs typeface="Arial"/>
            </a:rPr>
            <a:t>MESOMORFO</a:t>
          </a:r>
        </a:p>
      </xdr:txBody>
    </xdr:sp>
    <xdr:clientData/>
  </xdr:twoCellAnchor>
  <xdr:twoCellAnchor editAs="oneCell">
    <xdr:from>
      <xdr:col>7</xdr:col>
      <xdr:colOff>437515</xdr:colOff>
      <xdr:row>72</xdr:row>
      <xdr:rowOff>74295</xdr:rowOff>
    </xdr:from>
    <xdr:to>
      <xdr:col>9</xdr:col>
      <xdr:colOff>414655</xdr:colOff>
      <xdr:row>73</xdr:row>
      <xdr:rowOff>68834</xdr:rowOff>
    </xdr:to>
    <xdr:sp macro="" textlink="">
      <xdr:nvSpPr>
        <xdr:cNvPr id="6" name="Text Box 84">
          <a:extLst>
            <a:ext uri="{FF2B5EF4-FFF2-40B4-BE49-F238E27FC236}">
              <a16:creationId xmlns:a16="http://schemas.microsoft.com/office/drawing/2014/main" id="{5AB1E876-B3EB-485A-817C-71D5C78CD0CF}"/>
            </a:ext>
          </a:extLst>
        </xdr:cNvPr>
        <xdr:cNvSpPr txBox="1">
          <a:spLocks noChangeArrowheads="1"/>
        </xdr:cNvSpPr>
      </xdr:nvSpPr>
      <xdr:spPr bwMode="auto">
        <a:xfrm>
          <a:off x="5078095" y="16000095"/>
          <a:ext cx="868680" cy="1621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339966"/>
              </a:solidFill>
              <a:latin typeface="Arial"/>
              <a:cs typeface="Arial"/>
            </a:rPr>
            <a:t>ECTOMORFO</a:t>
          </a:r>
        </a:p>
      </xdr:txBody>
    </xdr:sp>
    <xdr:clientData/>
  </xdr:twoCellAnchor>
  <xdr:twoCellAnchor>
    <xdr:from>
      <xdr:col>9</xdr:col>
      <xdr:colOff>127000</xdr:colOff>
      <xdr:row>78</xdr:row>
      <xdr:rowOff>12700</xdr:rowOff>
    </xdr:from>
    <xdr:to>
      <xdr:col>9</xdr:col>
      <xdr:colOff>292100</xdr:colOff>
      <xdr:row>78</xdr:row>
      <xdr:rowOff>127000</xdr:rowOff>
    </xdr:to>
    <xdr:sp macro="" textlink="">
      <xdr:nvSpPr>
        <xdr:cNvPr id="7" name="Oval 85">
          <a:extLst>
            <a:ext uri="{FF2B5EF4-FFF2-40B4-BE49-F238E27FC236}">
              <a16:creationId xmlns:a16="http://schemas.microsoft.com/office/drawing/2014/main" id="{6DDC100B-B7BD-409F-9059-6A36AF32F7DE}"/>
            </a:ext>
          </a:extLst>
        </xdr:cNvPr>
        <xdr:cNvSpPr>
          <a:spLocks noChangeArrowheads="1"/>
        </xdr:cNvSpPr>
      </xdr:nvSpPr>
      <xdr:spPr bwMode="auto">
        <a:xfrm>
          <a:off x="5659120" y="17058640"/>
          <a:ext cx="165100" cy="114300"/>
        </a:xfrm>
        <a:prstGeom prst="ellipse">
          <a:avLst/>
        </a:prstGeom>
        <a:solidFill>
          <a:srgbClr val="0000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es-E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/WINDOWS/Escritorio/Arangio/Antropo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 datos bruto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0B20A-AA1F-4999-B640-4810140E0C71}">
  <sheetPr>
    <tabColor rgb="FFFF0000"/>
  </sheetPr>
  <dimension ref="A1:M134"/>
  <sheetViews>
    <sheetView tabSelected="1" showRuler="0" view="pageLayout" topLeftCell="A25" zoomScale="85" zoomScaleNormal="150" zoomScalePageLayoutView="85" workbookViewId="0">
      <selection activeCell="E36" sqref="E36:E40"/>
    </sheetView>
  </sheetViews>
  <sheetFormatPr baseColWidth="10" defaultColWidth="10.6640625" defaultRowHeight="13.2" x14ac:dyDescent="0.25"/>
  <cols>
    <col min="1" max="2" width="10.109375" customWidth="1"/>
    <col min="3" max="3" width="9.44140625" customWidth="1"/>
    <col min="4" max="4" width="9.33203125" customWidth="1"/>
    <col min="5" max="5" width="10" customWidth="1"/>
    <col min="6" max="6" width="10.109375" customWidth="1"/>
    <col min="7" max="7" width="7.109375" customWidth="1"/>
    <col min="8" max="8" width="6.6640625" customWidth="1"/>
    <col min="9" max="9" width="6.109375" customWidth="1"/>
    <col min="10" max="10" width="10.6640625" customWidth="1"/>
    <col min="11" max="11" width="10.109375" customWidth="1"/>
    <col min="14" max="14" width="19.44140625" customWidth="1"/>
    <col min="15" max="16" width="6.44140625" customWidth="1"/>
    <col min="18" max="18" width="6.44140625" bestFit="1" customWidth="1"/>
    <col min="19" max="19" width="3.33203125" customWidth="1"/>
  </cols>
  <sheetData>
    <row r="1" spans="1:13" ht="78.75" customHeight="1" x14ac:dyDescent="0.25">
      <c r="A1" s="151" t="s">
        <v>10</v>
      </c>
      <c r="B1" s="152"/>
      <c r="C1" s="152"/>
      <c r="D1" s="152"/>
      <c r="E1" s="152"/>
      <c r="F1" s="152"/>
      <c r="G1" s="152"/>
      <c r="H1" s="153"/>
      <c r="I1" s="154" t="s">
        <v>11</v>
      </c>
      <c r="J1" s="154"/>
      <c r="K1" s="154"/>
      <c r="L1" s="15"/>
      <c r="M1" s="15"/>
    </row>
    <row r="2" spans="1:13" x14ac:dyDescent="0.25">
      <c r="A2" s="16"/>
      <c r="B2" s="15"/>
      <c r="C2" s="15"/>
      <c r="D2" s="15"/>
      <c r="E2" s="15"/>
      <c r="F2" s="15"/>
      <c r="G2" s="15"/>
      <c r="H2" s="15"/>
      <c r="I2" s="15"/>
      <c r="J2" s="15"/>
      <c r="K2" s="17"/>
      <c r="L2" s="15"/>
      <c r="M2" s="15"/>
    </row>
    <row r="3" spans="1:13" ht="15.6" x14ac:dyDescent="0.3">
      <c r="A3" s="16"/>
      <c r="B3" s="15"/>
      <c r="C3" s="18" t="s">
        <v>0</v>
      </c>
      <c r="D3" s="125" t="e">
        <f>#REF!</f>
        <v>#REF!</v>
      </c>
      <c r="E3" s="125"/>
      <c r="F3" s="125"/>
      <c r="G3" s="126"/>
      <c r="H3" s="18" t="s">
        <v>12</v>
      </c>
      <c r="I3" s="19" t="e">
        <f>#REF!</f>
        <v>#REF!</v>
      </c>
      <c r="J3" s="15"/>
      <c r="K3" s="17"/>
      <c r="L3" s="15"/>
      <c r="M3" s="15"/>
    </row>
    <row r="4" spans="1:13" x14ac:dyDescent="0.25">
      <c r="A4" s="16"/>
      <c r="B4" s="15"/>
      <c r="C4" s="15"/>
      <c r="D4" s="15"/>
      <c r="E4" s="15"/>
      <c r="F4" s="15"/>
      <c r="G4" s="15"/>
      <c r="H4" s="15"/>
      <c r="I4" s="15"/>
      <c r="J4" s="15"/>
      <c r="K4" s="17"/>
      <c r="L4" s="15"/>
      <c r="M4" s="15"/>
    </row>
    <row r="5" spans="1:13" ht="13.8" x14ac:dyDescent="0.25">
      <c r="A5" s="16"/>
      <c r="B5" s="15"/>
      <c r="C5" s="127" t="s">
        <v>13</v>
      </c>
      <c r="D5" s="128"/>
      <c r="E5" s="20">
        <v>1</v>
      </c>
      <c r="F5" s="127" t="s">
        <v>14</v>
      </c>
      <c r="G5" s="128"/>
      <c r="H5" s="129" t="e">
        <f>#REF!</f>
        <v>#REF!</v>
      </c>
      <c r="I5" s="130"/>
      <c r="J5" s="15"/>
      <c r="K5" s="17"/>
      <c r="L5" s="15"/>
      <c r="M5" s="15"/>
    </row>
    <row r="6" spans="1:13" x14ac:dyDescent="0.25">
      <c r="A6" s="16"/>
      <c r="B6" s="15"/>
      <c r="C6" s="15"/>
      <c r="D6" s="15"/>
      <c r="E6" s="15"/>
      <c r="F6" s="15"/>
      <c r="G6" s="15"/>
      <c r="H6" s="15"/>
      <c r="I6" s="15"/>
      <c r="J6" s="15"/>
      <c r="K6" s="17"/>
      <c r="L6" s="15"/>
      <c r="M6" s="15"/>
    </row>
    <row r="7" spans="1:13" x14ac:dyDescent="0.25">
      <c r="A7" s="21"/>
      <c r="B7" s="22"/>
      <c r="C7" s="22"/>
      <c r="D7" s="22"/>
      <c r="E7" s="22"/>
      <c r="F7" s="22"/>
      <c r="G7" s="22"/>
      <c r="H7" s="22"/>
      <c r="I7" s="22"/>
      <c r="J7" s="22"/>
      <c r="K7" s="23"/>
      <c r="L7" s="15"/>
      <c r="M7" s="15"/>
    </row>
    <row r="8" spans="1:13" ht="10.8" customHeight="1" x14ac:dyDescent="0.25">
      <c r="A8" s="24"/>
      <c r="B8" s="25"/>
      <c r="C8" s="25"/>
      <c r="D8" s="25"/>
      <c r="E8" s="26" t="s">
        <v>15</v>
      </c>
      <c r="F8" s="27" t="s">
        <v>16</v>
      </c>
      <c r="G8" s="155"/>
      <c r="H8" s="155"/>
      <c r="I8" s="28"/>
      <c r="J8" s="28"/>
      <c r="K8" s="29"/>
      <c r="L8" s="2" t="s">
        <v>17</v>
      </c>
      <c r="M8" s="15"/>
    </row>
    <row r="9" spans="1:13" x14ac:dyDescent="0.25">
      <c r="A9" s="16"/>
      <c r="B9" s="15"/>
      <c r="C9" s="15"/>
      <c r="D9" s="15"/>
      <c r="E9" s="30"/>
      <c r="F9" s="31"/>
      <c r="G9" s="32"/>
      <c r="H9" s="32"/>
      <c r="I9" s="32"/>
      <c r="J9" s="32"/>
      <c r="K9" s="33"/>
      <c r="L9" s="2"/>
      <c r="M9" s="15"/>
    </row>
    <row r="10" spans="1:13" ht="19.5" customHeight="1" x14ac:dyDescent="0.25">
      <c r="A10" s="34"/>
      <c r="B10" s="103" t="s">
        <v>18</v>
      </c>
      <c r="C10" s="104"/>
      <c r="D10" s="104"/>
      <c r="E10" s="105">
        <v>65.599999999999994</v>
      </c>
      <c r="F10" s="106"/>
      <c r="G10" s="35"/>
      <c r="H10" s="35"/>
      <c r="I10" s="36"/>
      <c r="J10" s="36"/>
      <c r="K10" s="37"/>
      <c r="L10" s="2">
        <v>3</v>
      </c>
      <c r="M10" s="2">
        <v>2</v>
      </c>
    </row>
    <row r="11" spans="1:13" ht="19.5" customHeight="1" x14ac:dyDescent="0.25">
      <c r="A11" s="38"/>
      <c r="B11" s="107" t="s">
        <v>19</v>
      </c>
      <c r="C11" s="108"/>
      <c r="D11" s="108"/>
      <c r="E11" s="109">
        <v>178</v>
      </c>
      <c r="F11" s="110"/>
      <c r="G11" s="39"/>
      <c r="H11" s="39"/>
      <c r="I11" s="40"/>
      <c r="J11" s="40"/>
      <c r="K11" s="41"/>
      <c r="L11" s="2"/>
      <c r="M11" s="2"/>
    </row>
    <row r="12" spans="1:13" ht="19.5" customHeight="1" x14ac:dyDescent="0.25">
      <c r="A12" s="42"/>
      <c r="B12" s="107" t="s">
        <v>1</v>
      </c>
      <c r="C12" s="108"/>
      <c r="D12" s="108"/>
      <c r="E12" s="109">
        <v>6</v>
      </c>
      <c r="F12" s="110"/>
      <c r="G12" s="43"/>
      <c r="H12" s="43"/>
      <c r="I12" s="44"/>
      <c r="J12" s="44"/>
      <c r="K12" s="45"/>
      <c r="L12" s="2">
        <v>2</v>
      </c>
      <c r="M12" s="2">
        <v>1</v>
      </c>
    </row>
    <row r="13" spans="1:13" ht="19.5" customHeight="1" x14ac:dyDescent="0.25">
      <c r="A13" s="46"/>
      <c r="B13" s="111" t="s">
        <v>2</v>
      </c>
      <c r="C13" s="112"/>
      <c r="D13" s="112"/>
      <c r="E13" s="113">
        <v>10.3</v>
      </c>
      <c r="F13" s="114"/>
      <c r="G13" s="47"/>
      <c r="H13" s="47"/>
      <c r="I13" s="48"/>
      <c r="J13" s="48"/>
      <c r="K13" s="49"/>
      <c r="L13" s="2"/>
      <c r="M13" s="2"/>
    </row>
    <row r="14" spans="1:13" ht="19.5" customHeight="1" x14ac:dyDescent="0.25">
      <c r="A14" s="34"/>
      <c r="B14" s="107" t="s">
        <v>3</v>
      </c>
      <c r="C14" s="108"/>
      <c r="D14" s="108"/>
      <c r="E14" s="109">
        <v>28</v>
      </c>
      <c r="F14" s="110"/>
      <c r="G14" s="39"/>
      <c r="H14" s="39"/>
      <c r="I14" s="40"/>
      <c r="J14" s="40"/>
      <c r="K14" s="41"/>
      <c r="L14" s="15"/>
      <c r="M14" s="2">
        <v>6</v>
      </c>
    </row>
    <row r="15" spans="1:13" ht="19.5" customHeight="1" x14ac:dyDescent="0.25">
      <c r="A15" s="13"/>
      <c r="B15" s="107" t="s">
        <v>4</v>
      </c>
      <c r="C15" s="108"/>
      <c r="D15" s="108"/>
      <c r="E15" s="109">
        <v>30</v>
      </c>
      <c r="F15" s="110"/>
      <c r="G15" s="39"/>
      <c r="H15" s="39"/>
      <c r="I15" s="40"/>
      <c r="J15" s="40"/>
      <c r="K15" s="41"/>
      <c r="L15" s="15"/>
      <c r="M15" s="2">
        <v>5</v>
      </c>
    </row>
    <row r="16" spans="1:13" ht="19.5" customHeight="1" x14ac:dyDescent="0.25">
      <c r="A16" s="13"/>
      <c r="B16" s="107" t="s">
        <v>5</v>
      </c>
      <c r="C16" s="108"/>
      <c r="D16" s="108"/>
      <c r="E16" s="109">
        <v>72.5</v>
      </c>
      <c r="F16" s="110"/>
      <c r="G16" s="39"/>
      <c r="H16" s="39"/>
      <c r="I16" s="40"/>
      <c r="J16" s="40"/>
      <c r="K16" s="41"/>
      <c r="L16" s="15"/>
      <c r="M16" s="2">
        <v>4</v>
      </c>
    </row>
    <row r="17" spans="1:13" ht="19.5" customHeight="1" x14ac:dyDescent="0.25">
      <c r="A17" s="13"/>
      <c r="B17" s="107" t="s">
        <v>20</v>
      </c>
      <c r="C17" s="108"/>
      <c r="D17" s="108"/>
      <c r="E17" s="109">
        <v>93.3</v>
      </c>
      <c r="F17" s="110"/>
      <c r="G17" s="39"/>
      <c r="H17" s="39"/>
      <c r="I17" s="40"/>
      <c r="J17" s="40"/>
      <c r="K17" s="41"/>
      <c r="L17" s="15"/>
      <c r="M17" s="2">
        <v>3</v>
      </c>
    </row>
    <row r="18" spans="1:13" ht="19.5" customHeight="1" x14ac:dyDescent="0.25">
      <c r="A18" s="14"/>
      <c r="B18" s="111" t="s">
        <v>6</v>
      </c>
      <c r="C18" s="112"/>
      <c r="D18" s="112"/>
      <c r="E18" s="113">
        <v>34.5</v>
      </c>
      <c r="F18" s="114"/>
      <c r="G18" s="50"/>
      <c r="H18" s="50"/>
      <c r="I18" s="51"/>
      <c r="J18" s="51"/>
      <c r="K18" s="52"/>
      <c r="L18" s="15"/>
      <c r="M18" s="2">
        <v>2</v>
      </c>
    </row>
    <row r="19" spans="1:13" ht="19.5" customHeight="1" x14ac:dyDescent="0.25">
      <c r="A19" s="42"/>
      <c r="B19" s="103" t="s">
        <v>21</v>
      </c>
      <c r="C19" s="104"/>
      <c r="D19" s="104"/>
      <c r="E19" s="105">
        <v>7.75</v>
      </c>
      <c r="F19" s="106"/>
      <c r="G19" s="53"/>
      <c r="H19" s="53"/>
      <c r="I19" s="54"/>
      <c r="J19" s="54"/>
      <c r="K19" s="55"/>
      <c r="L19" s="15"/>
      <c r="M19" s="2">
        <v>1</v>
      </c>
    </row>
    <row r="20" spans="1:13" ht="19.5" customHeight="1" x14ac:dyDescent="0.25">
      <c r="A20" s="56"/>
      <c r="B20" s="107" t="s">
        <v>22</v>
      </c>
      <c r="C20" s="108"/>
      <c r="D20" s="108"/>
      <c r="E20" s="109">
        <v>5.25</v>
      </c>
      <c r="F20" s="110"/>
      <c r="G20" s="43"/>
      <c r="H20" s="43"/>
      <c r="I20" s="44"/>
      <c r="J20" s="44"/>
      <c r="K20" s="45"/>
      <c r="L20" s="15"/>
      <c r="M20" s="2"/>
    </row>
    <row r="21" spans="1:13" ht="19.5" customHeight="1" x14ac:dyDescent="0.25">
      <c r="A21" s="56"/>
      <c r="B21" s="107" t="s">
        <v>7</v>
      </c>
      <c r="C21" s="108"/>
      <c r="D21" s="108"/>
      <c r="E21" s="109">
        <v>1.5</v>
      </c>
      <c r="F21" s="110"/>
      <c r="G21" s="43"/>
      <c r="H21" s="43"/>
      <c r="I21" s="44"/>
      <c r="J21" s="44"/>
      <c r="K21" s="45"/>
      <c r="L21" s="15"/>
      <c r="M21" s="2">
        <v>10</v>
      </c>
    </row>
    <row r="22" spans="1:13" ht="19.5" customHeight="1" x14ac:dyDescent="0.25">
      <c r="A22" s="56"/>
      <c r="B22" s="107" t="s">
        <v>23</v>
      </c>
      <c r="C22" s="108"/>
      <c r="D22" s="108"/>
      <c r="E22" s="109">
        <v>7.1</v>
      </c>
      <c r="F22" s="110"/>
      <c r="G22" s="43"/>
      <c r="H22" s="43"/>
      <c r="I22" s="44"/>
      <c r="J22" s="44"/>
      <c r="K22" s="45"/>
      <c r="L22" s="15"/>
      <c r="M22" s="2">
        <v>9</v>
      </c>
    </row>
    <row r="23" spans="1:13" ht="19.5" customHeight="1" x14ac:dyDescent="0.25">
      <c r="A23" s="56"/>
      <c r="B23" s="107" t="s">
        <v>8</v>
      </c>
      <c r="C23" s="108"/>
      <c r="D23" s="108"/>
      <c r="E23" s="109">
        <v>4.5</v>
      </c>
      <c r="F23" s="110"/>
      <c r="G23" s="43"/>
      <c r="H23" s="43"/>
      <c r="I23" s="44"/>
      <c r="J23" s="44"/>
      <c r="K23" s="45"/>
      <c r="L23" s="15"/>
      <c r="M23" s="2">
        <v>8</v>
      </c>
    </row>
    <row r="24" spans="1:13" ht="19.5" customHeight="1" x14ac:dyDescent="0.25">
      <c r="A24" s="56"/>
      <c r="B24" s="107" t="s">
        <v>9</v>
      </c>
      <c r="C24" s="108"/>
      <c r="D24" s="108"/>
      <c r="E24" s="109">
        <v>13</v>
      </c>
      <c r="F24" s="110"/>
      <c r="G24" s="43"/>
      <c r="H24" s="43"/>
      <c r="I24" s="44"/>
      <c r="J24" s="44"/>
      <c r="K24" s="45"/>
      <c r="L24" s="2">
        <v>9</v>
      </c>
      <c r="M24" s="2">
        <v>7</v>
      </c>
    </row>
    <row r="25" spans="1:13" ht="19.5" customHeight="1" x14ac:dyDescent="0.25">
      <c r="A25" s="56"/>
      <c r="B25" s="107" t="s">
        <v>24</v>
      </c>
      <c r="C25" s="108"/>
      <c r="D25" s="108"/>
      <c r="E25" s="109">
        <v>14</v>
      </c>
      <c r="F25" s="110"/>
      <c r="G25" s="43"/>
      <c r="H25" s="43"/>
      <c r="I25" s="44"/>
      <c r="J25" s="44"/>
      <c r="K25" s="45"/>
      <c r="L25" s="2">
        <v>8</v>
      </c>
      <c r="M25" s="2">
        <v>6</v>
      </c>
    </row>
    <row r="26" spans="1:13" ht="19.5" customHeight="1" x14ac:dyDescent="0.25">
      <c r="A26" s="46"/>
      <c r="B26" s="111" t="s">
        <v>25</v>
      </c>
      <c r="C26" s="112"/>
      <c r="D26" s="112"/>
      <c r="E26" s="113">
        <v>6</v>
      </c>
      <c r="F26" s="114"/>
      <c r="G26" s="47"/>
      <c r="H26" s="47"/>
      <c r="I26" s="48"/>
      <c r="J26" s="48"/>
      <c r="K26" s="49"/>
      <c r="L26" s="2">
        <v>7</v>
      </c>
      <c r="M26" s="2">
        <v>5</v>
      </c>
    </row>
    <row r="27" spans="1:13" ht="19.5" customHeight="1" x14ac:dyDescent="0.25">
      <c r="A27" s="16"/>
      <c r="B27" s="15"/>
      <c r="C27" s="15"/>
      <c r="D27" s="15"/>
      <c r="E27" s="15"/>
      <c r="F27" s="15"/>
      <c r="G27" s="15"/>
      <c r="H27" s="15"/>
      <c r="I27" s="15"/>
      <c r="J27" s="15"/>
      <c r="K27" s="17"/>
      <c r="L27" s="15"/>
      <c r="M27" s="2">
        <v>6</v>
      </c>
    </row>
    <row r="28" spans="1:13" ht="19.5" customHeight="1" x14ac:dyDescent="0.25">
      <c r="A28" s="16"/>
      <c r="B28" s="101" t="s">
        <v>26</v>
      </c>
      <c r="C28" s="15"/>
      <c r="D28" s="15"/>
      <c r="E28" s="15"/>
      <c r="F28" s="15"/>
      <c r="G28" s="15"/>
      <c r="H28" s="15"/>
      <c r="I28" s="15"/>
      <c r="J28" s="15"/>
      <c r="K28" s="17"/>
      <c r="L28" s="15"/>
      <c r="M28" s="2"/>
    </row>
    <row r="29" spans="1:13" ht="19.5" customHeight="1" x14ac:dyDescent="0.25">
      <c r="A29" s="148"/>
      <c r="B29" s="100" t="s">
        <v>27</v>
      </c>
      <c r="C29" s="22" t="s">
        <v>28</v>
      </c>
      <c r="E29" s="115">
        <v>20.704456508016662</v>
      </c>
      <c r="F29" s="22"/>
      <c r="G29" s="22"/>
      <c r="H29" s="22"/>
      <c r="I29" s="22"/>
      <c r="J29" s="22"/>
      <c r="K29" s="144"/>
      <c r="L29" s="2">
        <v>14</v>
      </c>
      <c r="M29" s="2">
        <v>5</v>
      </c>
    </row>
    <row r="30" spans="1:13" ht="19.5" customHeight="1" x14ac:dyDescent="0.25">
      <c r="A30" s="149"/>
      <c r="B30" s="101" t="s">
        <v>29</v>
      </c>
      <c r="C30" s="15"/>
      <c r="E30" s="116">
        <v>0.77706323687031087</v>
      </c>
      <c r="F30" s="15"/>
      <c r="G30" s="15"/>
      <c r="H30" s="15"/>
      <c r="I30" s="15"/>
      <c r="J30" s="15"/>
      <c r="K30" s="145"/>
      <c r="L30" s="2"/>
      <c r="M30" s="2"/>
    </row>
    <row r="31" spans="1:13" ht="19.5" customHeight="1" x14ac:dyDescent="0.25">
      <c r="A31" s="149"/>
      <c r="B31" s="101" t="s">
        <v>30</v>
      </c>
      <c r="C31" s="15" t="s">
        <v>31</v>
      </c>
      <c r="E31" s="116">
        <v>50.5</v>
      </c>
      <c r="F31" s="15"/>
      <c r="G31" s="15"/>
      <c r="H31" s="15"/>
      <c r="I31" s="15"/>
      <c r="J31" s="15"/>
      <c r="K31" s="145"/>
      <c r="L31" s="2"/>
      <c r="M31" s="2"/>
    </row>
    <row r="32" spans="1:13" ht="19.5" customHeight="1" x14ac:dyDescent="0.25">
      <c r="A32" s="149"/>
      <c r="B32" s="101" t="s">
        <v>32</v>
      </c>
      <c r="C32" s="15" t="s">
        <v>33</v>
      </c>
      <c r="E32" s="116">
        <v>16.907795955112078</v>
      </c>
      <c r="F32" s="15"/>
      <c r="G32" s="15"/>
      <c r="H32" s="15"/>
      <c r="I32" s="15"/>
      <c r="J32" s="15"/>
      <c r="K32" s="145"/>
      <c r="L32" s="2"/>
      <c r="M32" s="2">
        <v>4</v>
      </c>
    </row>
    <row r="33" spans="1:13" ht="19.5" customHeight="1" x14ac:dyDescent="0.25">
      <c r="A33" s="149"/>
      <c r="B33" s="101" t="s">
        <v>34</v>
      </c>
      <c r="C33" s="15" t="s">
        <v>35</v>
      </c>
      <c r="E33" s="116">
        <v>11.091514146553523</v>
      </c>
      <c r="F33" s="15"/>
      <c r="G33" s="15"/>
      <c r="H33" s="15"/>
      <c r="I33" s="15"/>
      <c r="J33" s="15"/>
      <c r="K33" s="145"/>
      <c r="L33" s="2">
        <v>12</v>
      </c>
      <c r="M33" s="2">
        <v>3</v>
      </c>
    </row>
    <row r="34" spans="1:13" ht="18.899999999999999" customHeight="1" x14ac:dyDescent="0.25">
      <c r="A34" s="149"/>
      <c r="B34" s="101" t="s">
        <v>36</v>
      </c>
      <c r="C34" s="15" t="s">
        <v>35</v>
      </c>
      <c r="E34" s="116">
        <v>54.508485853446473</v>
      </c>
      <c r="F34" s="15"/>
      <c r="G34" s="15"/>
      <c r="H34" s="15"/>
      <c r="I34" s="15"/>
      <c r="J34" s="15"/>
      <c r="K34" s="145"/>
      <c r="L34" s="2">
        <v>10</v>
      </c>
      <c r="M34" s="2">
        <v>2</v>
      </c>
    </row>
    <row r="35" spans="1:13" ht="19.5" customHeight="1" x14ac:dyDescent="0.25">
      <c r="A35" s="149"/>
      <c r="B35" s="15"/>
      <c r="C35" s="15"/>
      <c r="D35" s="15"/>
      <c r="E35" s="117"/>
      <c r="F35" s="15"/>
      <c r="G35" s="15"/>
      <c r="H35" s="15"/>
      <c r="I35" s="15"/>
      <c r="J35" s="15"/>
      <c r="K35" s="145"/>
      <c r="L35" s="2"/>
      <c r="M35" s="2">
        <v>1</v>
      </c>
    </row>
    <row r="36" spans="1:13" ht="18.899999999999999" customHeight="1" x14ac:dyDescent="0.25">
      <c r="A36" s="149"/>
      <c r="B36" s="101" t="s">
        <v>32</v>
      </c>
      <c r="C36" s="15" t="s">
        <v>37</v>
      </c>
      <c r="D36" s="15"/>
      <c r="E36" s="116">
        <v>11.4748</v>
      </c>
      <c r="F36" s="15"/>
      <c r="G36" s="15"/>
      <c r="H36" s="15"/>
      <c r="I36" s="15"/>
      <c r="J36" s="15"/>
      <c r="K36" s="145"/>
      <c r="L36" s="2">
        <v>7</v>
      </c>
      <c r="M36" s="15"/>
    </row>
    <row r="37" spans="1:13" ht="18.899999999999999" customHeight="1" x14ac:dyDescent="0.25">
      <c r="A37" s="149"/>
      <c r="B37" s="101" t="s">
        <v>34</v>
      </c>
      <c r="C37" s="15" t="s">
        <v>35</v>
      </c>
      <c r="D37" s="15"/>
      <c r="E37" s="116">
        <v>7.5274687999999994</v>
      </c>
      <c r="F37" s="15"/>
      <c r="G37" s="15"/>
      <c r="H37" s="15"/>
      <c r="I37" s="15"/>
      <c r="J37" s="15"/>
      <c r="K37" s="145"/>
      <c r="L37" s="2">
        <v>6</v>
      </c>
      <c r="M37" s="15"/>
    </row>
    <row r="38" spans="1:13" ht="18.899999999999999" customHeight="1" x14ac:dyDescent="0.25">
      <c r="A38" s="149"/>
      <c r="B38" s="101" t="s">
        <v>36</v>
      </c>
      <c r="C38" s="15" t="s">
        <v>35</v>
      </c>
      <c r="D38" s="15"/>
      <c r="E38" s="116">
        <v>58.072531199999993</v>
      </c>
      <c r="F38" s="15"/>
      <c r="G38" s="15"/>
      <c r="H38" s="15"/>
      <c r="I38" s="15"/>
      <c r="J38" s="15"/>
      <c r="K38" s="145"/>
      <c r="L38" s="2">
        <v>5</v>
      </c>
      <c r="M38" s="15"/>
    </row>
    <row r="39" spans="1:13" ht="13.5" customHeight="1" x14ac:dyDescent="0.25">
      <c r="A39" s="149"/>
      <c r="B39" s="15"/>
      <c r="C39" s="15"/>
      <c r="D39" s="15"/>
      <c r="E39" s="117"/>
      <c r="F39" s="15"/>
      <c r="G39" s="15"/>
      <c r="H39" s="15"/>
      <c r="I39" s="15"/>
      <c r="J39" s="15"/>
      <c r="K39" s="145"/>
      <c r="L39" s="2">
        <v>4</v>
      </c>
      <c r="M39" s="15"/>
    </row>
    <row r="40" spans="1:13" ht="13.5" customHeight="1" x14ac:dyDescent="0.25">
      <c r="A40" s="149"/>
      <c r="B40" s="101" t="s">
        <v>38</v>
      </c>
      <c r="C40" s="15"/>
      <c r="D40" s="15"/>
      <c r="E40" s="118">
        <v>5172.2782165605086</v>
      </c>
      <c r="F40" s="15"/>
      <c r="G40" s="15"/>
      <c r="H40" s="15"/>
      <c r="I40" s="15"/>
      <c r="J40" s="15"/>
      <c r="K40" s="145"/>
      <c r="L40" s="2">
        <v>3</v>
      </c>
      <c r="M40" s="15"/>
    </row>
    <row r="41" spans="1:13" ht="13.5" customHeight="1" x14ac:dyDescent="0.25">
      <c r="A41" s="149"/>
      <c r="B41" s="15"/>
      <c r="C41" s="15"/>
      <c r="D41" s="15"/>
      <c r="E41" s="15"/>
      <c r="F41" s="15"/>
      <c r="G41" s="15"/>
      <c r="H41" s="15"/>
      <c r="I41" s="15"/>
      <c r="J41" s="15"/>
      <c r="K41" s="145"/>
      <c r="L41" s="2">
        <v>2</v>
      </c>
      <c r="M41" s="15"/>
    </row>
    <row r="42" spans="1:13" ht="13.5" customHeight="1" x14ac:dyDescent="0.25">
      <c r="A42" s="150"/>
      <c r="B42" s="25"/>
      <c r="C42" s="25"/>
      <c r="D42" s="25"/>
      <c r="E42" s="25"/>
      <c r="F42" s="25"/>
      <c r="G42" s="25"/>
      <c r="H42" s="25"/>
      <c r="I42" s="25"/>
      <c r="J42" s="25"/>
      <c r="K42" s="146"/>
      <c r="L42" s="2"/>
      <c r="M42" s="15"/>
    </row>
    <row r="43" spans="1:13" x14ac:dyDescent="0.25">
      <c r="A43" s="57"/>
      <c r="B43" s="58"/>
      <c r="C43" s="58"/>
      <c r="D43" s="58"/>
      <c r="E43" s="59"/>
      <c r="F43" s="58"/>
      <c r="G43" s="147"/>
      <c r="H43" s="147"/>
      <c r="I43" s="60"/>
      <c r="J43" s="58"/>
      <c r="K43" s="61"/>
      <c r="L43" s="2"/>
      <c r="M43" s="15"/>
    </row>
    <row r="44" spans="1:13" ht="22.8" x14ac:dyDescent="0.25">
      <c r="A44" s="151" t="s">
        <v>39</v>
      </c>
      <c r="B44" s="152"/>
      <c r="C44" s="152"/>
      <c r="D44" s="152"/>
      <c r="E44" s="152"/>
      <c r="F44" s="152"/>
      <c r="G44" s="152"/>
      <c r="H44" s="153"/>
      <c r="I44" s="154" t="s">
        <v>40</v>
      </c>
      <c r="J44" s="154"/>
      <c r="K44" s="154"/>
      <c r="L44" s="15"/>
      <c r="M44" s="15"/>
    </row>
    <row r="45" spans="1:13" x14ac:dyDescent="0.25">
      <c r="A45" s="21"/>
      <c r="B45" s="22"/>
      <c r="C45" s="22"/>
      <c r="D45" s="22"/>
      <c r="E45" s="22"/>
      <c r="F45" s="22"/>
      <c r="G45" s="22"/>
      <c r="H45" s="22"/>
      <c r="I45" s="22"/>
      <c r="J45" s="22"/>
      <c r="K45" s="23"/>
      <c r="L45" s="15"/>
      <c r="M45" s="15"/>
    </row>
    <row r="46" spans="1:13" ht="15.6" x14ac:dyDescent="0.3">
      <c r="A46" s="16"/>
      <c r="B46" s="15"/>
      <c r="C46" s="18" t="s">
        <v>0</v>
      </c>
      <c r="D46" s="125" t="e">
        <f>#REF!</f>
        <v>#REF!</v>
      </c>
      <c r="E46" s="125"/>
      <c r="F46" s="125"/>
      <c r="G46" s="126"/>
      <c r="H46" s="18" t="s">
        <v>12</v>
      </c>
      <c r="I46" s="62" t="e">
        <f>#REF!</f>
        <v>#REF!</v>
      </c>
      <c r="J46" s="15"/>
      <c r="K46" s="17"/>
      <c r="L46" s="15"/>
      <c r="M46" s="15"/>
    </row>
    <row r="47" spans="1:13" x14ac:dyDescent="0.25">
      <c r="A47" s="16"/>
      <c r="B47" s="15"/>
      <c r="C47" s="15"/>
      <c r="D47" s="15"/>
      <c r="E47" s="15"/>
      <c r="F47" s="15"/>
      <c r="G47" s="15"/>
      <c r="H47" s="15"/>
      <c r="I47" s="15"/>
      <c r="J47" s="15"/>
      <c r="K47" s="17"/>
      <c r="L47" s="15"/>
      <c r="M47" s="15"/>
    </row>
    <row r="48" spans="1:13" ht="13.8" x14ac:dyDescent="0.25">
      <c r="A48" s="16"/>
      <c r="B48" s="15"/>
      <c r="C48" s="127" t="s">
        <v>13</v>
      </c>
      <c r="D48" s="128"/>
      <c r="E48" s="20" t="e">
        <f>#REF!</f>
        <v>#REF!</v>
      </c>
      <c r="F48" s="127" t="s">
        <v>14</v>
      </c>
      <c r="G48" s="128"/>
      <c r="H48" s="129" t="e">
        <f>#REF!</f>
        <v>#REF!</v>
      </c>
      <c r="I48" s="130"/>
      <c r="J48" s="15"/>
      <c r="K48" s="17"/>
      <c r="L48" s="15"/>
      <c r="M48" s="15"/>
    </row>
    <row r="49" spans="1:13" ht="13.8" x14ac:dyDescent="0.25">
      <c r="A49" s="24"/>
      <c r="B49" s="25"/>
      <c r="C49" s="63"/>
      <c r="D49" s="63"/>
      <c r="E49" s="64"/>
      <c r="F49" s="63"/>
      <c r="G49" s="63"/>
      <c r="H49" s="65"/>
      <c r="I49" s="65"/>
      <c r="J49" s="25"/>
      <c r="K49" s="66"/>
      <c r="L49" s="15"/>
      <c r="M49" s="15"/>
    </row>
    <row r="50" spans="1:13" x14ac:dyDescent="0.25">
      <c r="A50" s="3" t="s">
        <v>41</v>
      </c>
      <c r="B50" s="4"/>
      <c r="C50" s="5">
        <f>SUM(E19,E20,E23)</f>
        <v>17.5</v>
      </c>
      <c r="D50" s="6" t="s">
        <v>42</v>
      </c>
      <c r="E50" s="15"/>
      <c r="F50" s="6">
        <f>E15-E19/10</f>
        <v>29.225000000000001</v>
      </c>
      <c r="G50" s="7" t="s">
        <v>43</v>
      </c>
      <c r="H50" s="7"/>
      <c r="I50" s="8">
        <f>E10^0.33333</f>
        <v>4.0330031087980993</v>
      </c>
      <c r="J50" s="15"/>
      <c r="K50" s="17"/>
      <c r="L50" s="15"/>
      <c r="M50" s="15"/>
    </row>
    <row r="51" spans="1:13" x14ac:dyDescent="0.25">
      <c r="A51" s="3" t="s">
        <v>44</v>
      </c>
      <c r="B51" s="4"/>
      <c r="C51" s="5">
        <f>170.18/E11</f>
        <v>0.95606741573033716</v>
      </c>
      <c r="D51" s="6" t="s">
        <v>45</v>
      </c>
      <c r="E51" s="15"/>
      <c r="F51" s="6">
        <f>E18-E26/10</f>
        <v>33.9</v>
      </c>
      <c r="G51" s="7" t="s">
        <v>46</v>
      </c>
      <c r="H51" s="15"/>
      <c r="I51" s="7">
        <f>E11/I50</f>
        <v>44.135844976585425</v>
      </c>
      <c r="J51" s="15"/>
      <c r="K51" s="17"/>
      <c r="L51" s="15"/>
      <c r="M51" s="15"/>
    </row>
    <row r="52" spans="1:13" x14ac:dyDescent="0.25">
      <c r="A52" s="3" t="s">
        <v>47</v>
      </c>
      <c r="B52" s="4"/>
      <c r="C52" s="5">
        <f>C50*C51</f>
        <v>16.7311797752809</v>
      </c>
      <c r="D52" s="15"/>
      <c r="E52" s="15"/>
      <c r="F52" s="15"/>
      <c r="G52" s="15"/>
      <c r="H52" s="15"/>
      <c r="I52" s="15"/>
      <c r="J52" s="15"/>
      <c r="K52" s="17"/>
      <c r="L52" s="15"/>
      <c r="M52" s="15"/>
    </row>
    <row r="53" spans="1:13" x14ac:dyDescent="0.25">
      <c r="A53" s="67" t="s">
        <v>48</v>
      </c>
      <c r="B53" s="68"/>
      <c r="C53" s="69">
        <f>-0.7182+(0.1451*C52)-(0.00068*(C52^2))+(0.0000014*(C52^3))</f>
        <v>1.5256972077424233</v>
      </c>
      <c r="D53" s="70" t="s">
        <v>49</v>
      </c>
      <c r="E53" s="71"/>
      <c r="F53" s="72">
        <f>0.858*E12+0.601*E13+0.188*F50+0.161*F51-E11*0.131+4.5</f>
        <v>3.4724999999999966</v>
      </c>
      <c r="G53" s="73" t="s">
        <v>50</v>
      </c>
      <c r="H53" s="74"/>
      <c r="I53" s="75">
        <f>IF(I51&lt;=38.25,0.1,IF(I51&lt;40.75,0.463*I51-17.63,0.732*I51-28.58))</f>
        <v>3.7274385228605311</v>
      </c>
      <c r="J53" s="15"/>
      <c r="K53" s="17"/>
      <c r="L53" s="15"/>
      <c r="M53" s="15"/>
    </row>
    <row r="54" spans="1:13" x14ac:dyDescent="0.25">
      <c r="A54" s="76"/>
      <c r="B54" s="22"/>
      <c r="C54" s="22"/>
      <c r="D54" s="22"/>
      <c r="E54" s="22"/>
      <c r="F54" s="22"/>
      <c r="G54" s="22"/>
      <c r="H54" s="22"/>
      <c r="I54" s="22"/>
      <c r="J54" s="22"/>
      <c r="K54" s="23"/>
      <c r="L54" s="15"/>
      <c r="M54" s="15"/>
    </row>
    <row r="55" spans="1:13" x14ac:dyDescent="0.25">
      <c r="A55" s="77" t="s">
        <v>51</v>
      </c>
      <c r="B55" s="15"/>
      <c r="C55" s="15"/>
      <c r="D55" s="15"/>
      <c r="E55" s="15"/>
      <c r="F55" s="15"/>
      <c r="G55" s="15"/>
      <c r="H55" s="15"/>
      <c r="I55" s="15"/>
      <c r="J55" s="15"/>
      <c r="K55" s="17"/>
      <c r="L55" s="15"/>
      <c r="M55" s="15"/>
    </row>
    <row r="56" spans="1:13" ht="15" customHeight="1" x14ac:dyDescent="0.25">
      <c r="A56" s="78"/>
      <c r="B56" s="15"/>
      <c r="C56" s="15"/>
      <c r="D56" s="15"/>
      <c r="E56" s="15"/>
      <c r="F56" s="15"/>
      <c r="G56" s="15"/>
      <c r="H56" s="15"/>
      <c r="I56" s="15"/>
      <c r="J56" s="15"/>
      <c r="K56" s="17"/>
      <c r="L56" s="15"/>
      <c r="M56" s="15"/>
    </row>
    <row r="57" spans="1:13" ht="78.75" customHeight="1" x14ac:dyDescent="0.25">
      <c r="A57" s="78"/>
      <c r="B57" s="15"/>
      <c r="C57" s="15"/>
      <c r="D57" s="15"/>
      <c r="E57" s="15"/>
      <c r="F57" s="15"/>
      <c r="G57" s="15"/>
      <c r="H57" s="15"/>
      <c r="I57" s="15"/>
      <c r="J57" s="15"/>
      <c r="K57" s="17"/>
      <c r="L57" s="15"/>
      <c r="M57" s="15"/>
    </row>
    <row r="58" spans="1:13" ht="12" customHeight="1" x14ac:dyDescent="0.25">
      <c r="A58" s="78"/>
      <c r="B58" s="15"/>
      <c r="C58" s="15"/>
      <c r="D58" s="15"/>
      <c r="E58" s="15"/>
      <c r="F58" s="15"/>
      <c r="G58" s="15"/>
      <c r="H58" s="15"/>
      <c r="I58" s="15"/>
      <c r="J58" s="15"/>
      <c r="K58" s="17"/>
      <c r="L58" s="15"/>
      <c r="M58" s="15"/>
    </row>
    <row r="59" spans="1:13" ht="12" customHeight="1" x14ac:dyDescent="0.25">
      <c r="A59" s="78"/>
      <c r="B59" s="15"/>
      <c r="C59" s="15"/>
      <c r="D59" s="15"/>
      <c r="E59" s="15"/>
      <c r="F59" s="15"/>
      <c r="G59" s="15"/>
      <c r="H59" s="15"/>
      <c r="I59" s="15"/>
      <c r="J59" s="15"/>
      <c r="K59" s="17"/>
      <c r="L59" s="15"/>
      <c r="M59" s="15"/>
    </row>
    <row r="60" spans="1:13" ht="12" customHeight="1" x14ac:dyDescent="0.25">
      <c r="A60" s="78"/>
      <c r="B60" s="15"/>
      <c r="C60" s="15"/>
      <c r="D60" s="15"/>
      <c r="E60" s="15"/>
      <c r="F60" s="15"/>
      <c r="G60" s="15"/>
      <c r="H60" s="15"/>
      <c r="I60" s="15"/>
      <c r="J60" s="15"/>
      <c r="K60" s="17"/>
      <c r="L60" s="15"/>
      <c r="M60" s="15"/>
    </row>
    <row r="61" spans="1:13" ht="12" customHeight="1" x14ac:dyDescent="0.25">
      <c r="A61" s="78"/>
      <c r="B61" s="15"/>
      <c r="C61" s="15"/>
      <c r="D61" s="15"/>
      <c r="E61" s="15"/>
      <c r="F61" s="15"/>
      <c r="G61" s="15"/>
      <c r="H61" s="15"/>
      <c r="I61" s="15"/>
      <c r="J61" s="15"/>
      <c r="K61" s="17"/>
      <c r="L61" s="15"/>
      <c r="M61" s="15"/>
    </row>
    <row r="62" spans="1:13" ht="12" customHeight="1" x14ac:dyDescent="0.25">
      <c r="A62" s="78"/>
      <c r="B62" s="15"/>
      <c r="C62" s="15"/>
      <c r="D62" s="15"/>
      <c r="E62" s="15"/>
      <c r="F62" s="15"/>
      <c r="G62" s="15"/>
      <c r="H62" s="15"/>
      <c r="I62" s="15"/>
      <c r="J62" s="15"/>
      <c r="K62" s="17"/>
      <c r="L62" s="15"/>
      <c r="M62" s="15"/>
    </row>
    <row r="63" spans="1:13" ht="12" customHeight="1" x14ac:dyDescent="0.25">
      <c r="A63" s="78"/>
      <c r="B63" s="15"/>
      <c r="C63" s="15"/>
      <c r="D63" s="15"/>
      <c r="E63" s="15"/>
      <c r="F63" s="15"/>
      <c r="G63" s="15"/>
      <c r="H63" s="15"/>
      <c r="I63" s="15"/>
      <c r="J63" s="15"/>
      <c r="K63" s="17"/>
      <c r="L63" s="15"/>
      <c r="M63" s="15"/>
    </row>
    <row r="64" spans="1:13" ht="12" customHeight="1" x14ac:dyDescent="0.25">
      <c r="A64" s="78"/>
      <c r="B64" s="15"/>
      <c r="C64" s="15"/>
      <c r="D64" s="15"/>
      <c r="E64" s="15"/>
      <c r="F64" s="15"/>
      <c r="G64" s="15"/>
      <c r="H64" s="15"/>
      <c r="I64" s="15"/>
      <c r="J64" s="15"/>
      <c r="K64" s="17"/>
      <c r="L64" s="15"/>
      <c r="M64" s="15"/>
    </row>
    <row r="65" spans="1:13" ht="12" customHeight="1" x14ac:dyDescent="0.25">
      <c r="A65" s="78"/>
      <c r="B65" s="15"/>
      <c r="C65" s="15"/>
      <c r="D65" s="15"/>
      <c r="E65" s="15"/>
      <c r="F65" s="15"/>
      <c r="G65" s="15"/>
      <c r="H65" s="15"/>
      <c r="I65" s="15"/>
      <c r="J65" s="15"/>
      <c r="K65" s="17"/>
      <c r="L65" s="15"/>
      <c r="M65" s="15"/>
    </row>
    <row r="66" spans="1:13" ht="12" customHeight="1" x14ac:dyDescent="0.25">
      <c r="A66" s="78"/>
      <c r="B66" s="15"/>
      <c r="C66" s="15"/>
      <c r="D66" s="15"/>
      <c r="E66" s="15"/>
      <c r="F66" s="15"/>
      <c r="G66" s="15"/>
      <c r="H66" s="15"/>
      <c r="I66" s="15"/>
      <c r="J66" s="15"/>
      <c r="K66" s="17"/>
      <c r="L66" s="15"/>
      <c r="M66" s="15"/>
    </row>
    <row r="67" spans="1:13" ht="12" customHeight="1" x14ac:dyDescent="0.25">
      <c r="A67" s="78"/>
      <c r="B67" s="15"/>
      <c r="C67" s="15"/>
      <c r="D67" s="15"/>
      <c r="E67" s="15"/>
      <c r="F67" s="15"/>
      <c r="G67" s="15"/>
      <c r="H67" s="15"/>
      <c r="I67" s="15"/>
      <c r="J67" s="15"/>
      <c r="K67" s="17"/>
      <c r="L67" s="15"/>
      <c r="M67" s="15"/>
    </row>
    <row r="68" spans="1:13" ht="12" customHeight="1" x14ac:dyDescent="0.25">
      <c r="A68" s="78"/>
      <c r="B68" s="15"/>
      <c r="C68" s="15"/>
      <c r="D68" s="15"/>
      <c r="E68" s="15"/>
      <c r="F68" s="15"/>
      <c r="G68" s="15"/>
      <c r="H68" s="15"/>
      <c r="I68" s="15"/>
      <c r="J68" s="15"/>
      <c r="K68" s="17"/>
      <c r="L68" s="15"/>
      <c r="M68" s="15"/>
    </row>
    <row r="69" spans="1:13" x14ac:dyDescent="0.25">
      <c r="A69" s="78"/>
      <c r="B69" s="15"/>
      <c r="C69" s="15"/>
      <c r="D69" s="15"/>
      <c r="E69" s="15"/>
      <c r="F69" s="15"/>
      <c r="G69" s="15"/>
      <c r="H69" s="15"/>
      <c r="I69" s="15"/>
      <c r="J69" s="15"/>
      <c r="K69" s="17"/>
      <c r="L69" s="15"/>
      <c r="M69" s="15"/>
    </row>
    <row r="70" spans="1:13" x14ac:dyDescent="0.25">
      <c r="A70" s="78"/>
      <c r="B70" s="15"/>
      <c r="C70" s="15"/>
      <c r="D70" s="15"/>
      <c r="E70" s="15"/>
      <c r="F70" s="15"/>
      <c r="G70" s="15"/>
      <c r="H70" s="15"/>
      <c r="I70" s="15"/>
      <c r="J70" s="15"/>
      <c r="K70" s="17"/>
      <c r="L70" s="15"/>
      <c r="M70" s="15"/>
    </row>
    <row r="71" spans="1:13" ht="12" customHeight="1" x14ac:dyDescent="0.25">
      <c r="A71" s="78"/>
      <c r="B71" s="15"/>
      <c r="C71" s="15"/>
      <c r="D71" s="15"/>
      <c r="E71" s="15"/>
      <c r="F71" s="15"/>
      <c r="G71" s="15"/>
      <c r="H71" s="15"/>
      <c r="I71" s="15"/>
      <c r="J71" s="15"/>
      <c r="K71" s="17"/>
      <c r="L71" s="15"/>
      <c r="M71" s="15"/>
    </row>
    <row r="72" spans="1:13" x14ac:dyDescent="0.25">
      <c r="A72" s="78"/>
      <c r="B72" s="15"/>
      <c r="C72" s="15"/>
      <c r="D72" s="15"/>
      <c r="E72" s="15"/>
      <c r="F72" s="15"/>
      <c r="G72" s="15"/>
      <c r="H72" s="15"/>
      <c r="I72" s="15"/>
      <c r="J72" s="15"/>
      <c r="K72" s="17"/>
      <c r="L72" s="15"/>
      <c r="M72" s="15"/>
    </row>
    <row r="73" spans="1:13" x14ac:dyDescent="0.25">
      <c r="A73" s="78"/>
      <c r="B73" s="15"/>
      <c r="C73" s="15"/>
      <c r="D73" s="15"/>
      <c r="E73" s="15"/>
      <c r="F73" s="15"/>
      <c r="G73" s="15"/>
      <c r="H73" s="15"/>
      <c r="I73" s="15"/>
      <c r="J73" s="15"/>
      <c r="K73" s="17"/>
      <c r="L73" s="15"/>
      <c r="M73" s="15"/>
    </row>
    <row r="74" spans="1:13" x14ac:dyDescent="0.25">
      <c r="A74" s="78"/>
      <c r="B74" s="15"/>
      <c r="C74" s="15"/>
      <c r="D74" s="15"/>
      <c r="E74" s="15"/>
      <c r="F74" s="15"/>
      <c r="G74" s="15"/>
      <c r="H74" s="15"/>
      <c r="I74" s="15"/>
      <c r="J74" s="15"/>
      <c r="K74" s="17"/>
      <c r="L74" s="15"/>
      <c r="M74" s="15"/>
    </row>
    <row r="75" spans="1:13" x14ac:dyDescent="0.25">
      <c r="A75" s="78"/>
      <c r="B75" s="15"/>
      <c r="C75" s="15"/>
      <c r="D75" s="15"/>
      <c r="E75" s="15"/>
      <c r="F75" s="15"/>
      <c r="G75" s="15"/>
      <c r="H75" s="15"/>
      <c r="I75" s="15"/>
      <c r="J75" s="15"/>
      <c r="K75" s="17"/>
      <c r="L75" s="15"/>
      <c r="M75" s="15"/>
    </row>
    <row r="76" spans="1:13" x14ac:dyDescent="0.25">
      <c r="A76" s="78"/>
      <c r="B76" s="15"/>
      <c r="C76" s="15"/>
      <c r="D76" s="15"/>
      <c r="E76" s="15"/>
      <c r="F76" s="15"/>
      <c r="G76" s="15"/>
      <c r="H76" s="15"/>
      <c r="I76" s="15"/>
      <c r="J76" s="15"/>
      <c r="K76" s="17"/>
      <c r="L76" s="15"/>
      <c r="M76" s="15"/>
    </row>
    <row r="77" spans="1:13" ht="14.1" customHeight="1" x14ac:dyDescent="0.25">
      <c r="A77" s="79"/>
      <c r="B77" s="15"/>
      <c r="C77" s="15"/>
      <c r="D77" s="15"/>
      <c r="E77" s="15"/>
      <c r="F77" s="15"/>
      <c r="G77" s="15"/>
      <c r="H77" s="15"/>
      <c r="I77" s="15"/>
      <c r="J77" s="15"/>
      <c r="K77" s="17"/>
      <c r="L77" s="15"/>
      <c r="M77" s="15"/>
    </row>
    <row r="78" spans="1:13" ht="21.9" customHeight="1" x14ac:dyDescent="0.25">
      <c r="A78" s="135" t="s">
        <v>52</v>
      </c>
      <c r="B78" s="136"/>
      <c r="C78" s="137"/>
      <c r="D78" s="80" t="s">
        <v>53</v>
      </c>
      <c r="E78" s="81" t="s">
        <v>54</v>
      </c>
      <c r="F78" s="82" t="s">
        <v>55</v>
      </c>
      <c r="G78" s="83"/>
      <c r="H78" s="83"/>
      <c r="I78" s="83"/>
      <c r="J78" s="119" t="s">
        <v>56</v>
      </c>
      <c r="K78" s="120">
        <f>I53-C53</f>
        <v>2.2017413151181078</v>
      </c>
      <c r="L78" s="15"/>
      <c r="M78" s="15"/>
    </row>
    <row r="79" spans="1:13" ht="13.8" x14ac:dyDescent="0.25">
      <c r="A79" s="138"/>
      <c r="B79" s="139"/>
      <c r="C79" s="140"/>
      <c r="D79" s="84">
        <f>C53</f>
        <v>1.5256972077424233</v>
      </c>
      <c r="E79" s="85">
        <f>F53</f>
        <v>3.4724999999999966</v>
      </c>
      <c r="F79" s="86">
        <f>I53</f>
        <v>3.7274385228605311</v>
      </c>
      <c r="G79" s="87" t="s">
        <v>57</v>
      </c>
      <c r="H79" s="87"/>
      <c r="I79" s="87"/>
      <c r="J79" s="121" t="s">
        <v>58</v>
      </c>
      <c r="K79" s="122">
        <f>2*F53-(C53+I53)</f>
        <v>1.6918642693970387</v>
      </c>
      <c r="L79" s="15"/>
      <c r="M79" s="15"/>
    </row>
    <row r="80" spans="1:13" ht="13.8" x14ac:dyDescent="0.25">
      <c r="A80" s="141"/>
      <c r="B80" s="142"/>
      <c r="C80" s="143"/>
      <c r="D80" s="88"/>
      <c r="E80" s="89"/>
      <c r="F80" s="90"/>
      <c r="G80" s="91"/>
      <c r="H80" s="91"/>
      <c r="I80" s="91"/>
      <c r="J80" s="123"/>
      <c r="K80" s="124" t="e">
        <v>#NUM!</v>
      </c>
      <c r="L80" s="15"/>
      <c r="M80" s="15"/>
    </row>
    <row r="81" spans="1:13" x14ac:dyDescent="0.25">
      <c r="A81" s="135"/>
      <c r="B81" s="136"/>
      <c r="C81" s="137"/>
      <c r="D81" s="15"/>
      <c r="E81" s="15"/>
      <c r="F81" s="15"/>
      <c r="G81" s="15"/>
      <c r="H81" s="92"/>
      <c r="I81" s="15"/>
      <c r="J81" s="15"/>
      <c r="K81" s="17"/>
      <c r="L81" s="15"/>
      <c r="M81" s="15"/>
    </row>
    <row r="82" spans="1:13" x14ac:dyDescent="0.25">
      <c r="A82" s="138"/>
      <c r="B82" s="139"/>
      <c r="C82" s="140"/>
      <c r="D82" s="15"/>
      <c r="E82" s="15"/>
      <c r="F82" s="15"/>
      <c r="G82" s="15"/>
      <c r="H82" s="15"/>
      <c r="I82" s="15"/>
      <c r="J82" s="2" t="s">
        <v>59</v>
      </c>
      <c r="K82" s="9"/>
      <c r="L82" s="15"/>
      <c r="M82" s="15"/>
    </row>
    <row r="83" spans="1:13" x14ac:dyDescent="0.25">
      <c r="A83" s="138"/>
      <c r="B83" s="139"/>
      <c r="C83" s="140"/>
      <c r="D83" s="15"/>
      <c r="E83" s="15"/>
      <c r="F83" s="15"/>
      <c r="G83" s="93"/>
      <c r="H83" s="94"/>
      <c r="I83" s="95"/>
      <c r="J83" s="2" t="s">
        <v>60</v>
      </c>
      <c r="K83" s="10"/>
      <c r="L83" s="15"/>
      <c r="M83" s="15"/>
    </row>
    <row r="84" spans="1:13" ht="13.8" x14ac:dyDescent="0.25">
      <c r="A84" s="141"/>
      <c r="B84" s="142"/>
      <c r="C84" s="143"/>
      <c r="D84" s="24"/>
      <c r="E84" s="25"/>
      <c r="F84" s="25"/>
      <c r="G84" s="96"/>
      <c r="H84" s="97"/>
      <c r="I84" s="98"/>
      <c r="J84" s="11" t="s">
        <v>61</v>
      </c>
      <c r="K84" s="12"/>
      <c r="L84" s="15"/>
      <c r="M84" s="15"/>
    </row>
    <row r="85" spans="1:13" ht="13.8" x14ac:dyDescent="0.25">
      <c r="A85" s="158" t="s">
        <v>62</v>
      </c>
      <c r="B85" s="159"/>
      <c r="C85" s="134" t="s">
        <v>63</v>
      </c>
      <c r="D85" s="134"/>
      <c r="E85" s="134" t="s">
        <v>64</v>
      </c>
      <c r="F85" s="134"/>
      <c r="G85" s="134" t="s">
        <v>65</v>
      </c>
      <c r="H85" s="134"/>
      <c r="I85" s="134"/>
      <c r="J85" s="99"/>
      <c r="K85" s="131" t="s">
        <v>66</v>
      </c>
      <c r="L85" s="15"/>
      <c r="M85" s="15"/>
    </row>
    <row r="86" spans="1:13" ht="50.1" customHeight="1" x14ac:dyDescent="0.25">
      <c r="A86" s="156" t="s">
        <v>67</v>
      </c>
      <c r="B86" s="157"/>
      <c r="C86" s="133" t="s">
        <v>68</v>
      </c>
      <c r="D86" s="133"/>
      <c r="E86" s="133" t="s">
        <v>69</v>
      </c>
      <c r="F86" s="133"/>
      <c r="G86" s="133" t="s">
        <v>70</v>
      </c>
      <c r="H86" s="133"/>
      <c r="I86" s="133"/>
      <c r="J86" s="102" t="s">
        <v>71</v>
      </c>
      <c r="K86" s="132"/>
      <c r="L86" s="15"/>
      <c r="M86" s="15"/>
    </row>
    <row r="87" spans="1:13" ht="40.799999999999997" x14ac:dyDescent="0.25">
      <c r="A87" s="156" t="s">
        <v>72</v>
      </c>
      <c r="B87" s="157"/>
      <c r="C87" s="133" t="s">
        <v>73</v>
      </c>
      <c r="D87" s="133"/>
      <c r="E87" s="133" t="s">
        <v>74</v>
      </c>
      <c r="F87" s="133"/>
      <c r="G87" s="133" t="s">
        <v>75</v>
      </c>
      <c r="H87" s="133"/>
      <c r="I87" s="133"/>
      <c r="J87" s="102" t="s">
        <v>76</v>
      </c>
      <c r="K87" s="132"/>
      <c r="L87" s="15"/>
      <c r="M87" s="15"/>
    </row>
    <row r="88" spans="1:13" ht="30.6" x14ac:dyDescent="0.25">
      <c r="A88" s="156" t="s">
        <v>77</v>
      </c>
      <c r="B88" s="157"/>
      <c r="C88" s="133" t="s">
        <v>78</v>
      </c>
      <c r="D88" s="133"/>
      <c r="E88" s="133" t="s">
        <v>79</v>
      </c>
      <c r="F88" s="133"/>
      <c r="G88" s="133" t="s">
        <v>80</v>
      </c>
      <c r="H88" s="133"/>
      <c r="I88" s="133"/>
      <c r="J88" s="102" t="s">
        <v>81</v>
      </c>
      <c r="K88" s="132"/>
      <c r="L88" s="15"/>
      <c r="M88" s="15"/>
    </row>
    <row r="89" spans="1:13" x14ac:dyDescent="0.25">
      <c r="A89" s="1" t="e">
        <f>#REF!</f>
        <v>#REF!</v>
      </c>
      <c r="L89" s="15"/>
      <c r="M89" s="15"/>
    </row>
    <row r="90" spans="1:13" ht="23.25" customHeight="1" x14ac:dyDescent="0.25">
      <c r="L90" s="15"/>
      <c r="M90" s="15"/>
    </row>
    <row r="91" spans="1:13" x14ac:dyDescent="0.25">
      <c r="L91" s="87"/>
      <c r="M91" s="15"/>
    </row>
    <row r="92" spans="1:13" x14ac:dyDescent="0.25">
      <c r="L92" s="87"/>
      <c r="M92" s="15"/>
    </row>
    <row r="93" spans="1:13" x14ac:dyDescent="0.25">
      <c r="L93" s="87"/>
      <c r="M93" s="15"/>
    </row>
    <row r="94" spans="1:13" x14ac:dyDescent="0.25">
      <c r="L94" s="2"/>
      <c r="M94" s="15"/>
    </row>
    <row r="95" spans="1:13" x14ac:dyDescent="0.25">
      <c r="L95" s="2"/>
      <c r="M95" s="15"/>
    </row>
    <row r="96" spans="1:13" x14ac:dyDescent="0.25">
      <c r="L96" s="15"/>
      <c r="M96" s="15"/>
    </row>
    <row r="97" spans="1:13" x14ac:dyDescent="0.25">
      <c r="L97" s="15"/>
      <c r="M97" s="15"/>
    </row>
    <row r="98" spans="1:13" ht="13.5" customHeight="1" x14ac:dyDescent="0.25">
      <c r="L98" s="15"/>
      <c r="M98" s="15"/>
    </row>
    <row r="99" spans="1:13" ht="87.75" customHeight="1" x14ac:dyDescent="0.25">
      <c r="L99" s="15"/>
      <c r="M99" s="15"/>
    </row>
    <row r="100" spans="1:13" ht="84.75" customHeight="1" x14ac:dyDescent="0.25">
      <c r="A100" s="1">
        <v>1</v>
      </c>
      <c r="L100" s="15"/>
      <c r="M100" s="15"/>
    </row>
    <row r="101" spans="1:13" ht="58.5" customHeight="1" x14ac:dyDescent="0.25">
      <c r="A101" s="1">
        <v>2</v>
      </c>
      <c r="L101" s="15"/>
      <c r="M101" s="15"/>
    </row>
    <row r="102" spans="1:13" ht="78.75" customHeight="1" x14ac:dyDescent="0.25">
      <c r="A102" s="1">
        <v>3</v>
      </c>
    </row>
    <row r="103" spans="1:13" x14ac:dyDescent="0.25">
      <c r="A103" s="1">
        <v>4</v>
      </c>
    </row>
    <row r="104" spans="1:13" x14ac:dyDescent="0.25">
      <c r="A104" s="1">
        <v>5</v>
      </c>
    </row>
    <row r="105" spans="1:13" x14ac:dyDescent="0.25">
      <c r="A105" s="1"/>
    </row>
    <row r="106" spans="1:13" x14ac:dyDescent="0.25">
      <c r="A106" s="1"/>
    </row>
    <row r="107" spans="1:13" x14ac:dyDescent="0.25">
      <c r="A107" s="1"/>
    </row>
    <row r="108" spans="1:13" ht="25.5" customHeight="1" x14ac:dyDescent="0.25">
      <c r="A108" s="1">
        <v>1</v>
      </c>
    </row>
    <row r="109" spans="1:13" ht="25.5" customHeight="1" x14ac:dyDescent="0.25">
      <c r="A109" s="1">
        <v>2</v>
      </c>
    </row>
    <row r="110" spans="1:13" ht="45.75" customHeight="1" x14ac:dyDescent="0.25">
      <c r="A110" s="1">
        <v>3</v>
      </c>
    </row>
    <row r="111" spans="1:13" x14ac:dyDescent="0.25">
      <c r="A111" s="1">
        <v>4</v>
      </c>
    </row>
    <row r="112" spans="1:13" x14ac:dyDescent="0.25">
      <c r="A112" s="1">
        <v>5</v>
      </c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>
        <v>1</v>
      </c>
    </row>
    <row r="117" spans="1:1" x14ac:dyDescent="0.25">
      <c r="A117" s="1">
        <v>2</v>
      </c>
    </row>
    <row r="118" spans="1:1" ht="25.5" customHeight="1" x14ac:dyDescent="0.25">
      <c r="A118" s="1">
        <v>3</v>
      </c>
    </row>
    <row r="119" spans="1:1" x14ac:dyDescent="0.25">
      <c r="A119" s="1">
        <v>4</v>
      </c>
    </row>
    <row r="120" spans="1:1" x14ac:dyDescent="0.25">
      <c r="A120" s="1">
        <v>5</v>
      </c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>
        <v>1</v>
      </c>
    </row>
    <row r="125" spans="1:1" x14ac:dyDescent="0.25">
      <c r="A125" s="1">
        <v>2</v>
      </c>
    </row>
    <row r="126" spans="1:1" ht="25.5" customHeight="1" x14ac:dyDescent="0.25">
      <c r="A126" s="1">
        <v>3</v>
      </c>
    </row>
    <row r="127" spans="1:1" x14ac:dyDescent="0.25">
      <c r="A127" s="1">
        <v>4</v>
      </c>
    </row>
    <row r="128" spans="1:1" x14ac:dyDescent="0.25">
      <c r="A128" s="1">
        <v>5</v>
      </c>
    </row>
    <row r="134" ht="25.5" customHeight="1" x14ac:dyDescent="0.25"/>
  </sheetData>
  <mergeCells count="35">
    <mergeCell ref="A1:H1"/>
    <mergeCell ref="I1:K1"/>
    <mergeCell ref="D3:G3"/>
    <mergeCell ref="C5:D5"/>
    <mergeCell ref="F5:G5"/>
    <mergeCell ref="H5:I5"/>
    <mergeCell ref="A81:C84"/>
    <mergeCell ref="G8:H8"/>
    <mergeCell ref="A29:A42"/>
    <mergeCell ref="K29:K42"/>
    <mergeCell ref="G43:H43"/>
    <mergeCell ref="A44:H44"/>
    <mergeCell ref="I44:K44"/>
    <mergeCell ref="D46:G46"/>
    <mergeCell ref="C48:D48"/>
    <mergeCell ref="F48:G48"/>
    <mergeCell ref="H48:I48"/>
    <mergeCell ref="A78:C80"/>
    <mergeCell ref="A85:B85"/>
    <mergeCell ref="C85:D85"/>
    <mergeCell ref="E85:F85"/>
    <mergeCell ref="G85:I85"/>
    <mergeCell ref="K85:K88"/>
    <mergeCell ref="A86:B86"/>
    <mergeCell ref="C86:D86"/>
    <mergeCell ref="E86:F86"/>
    <mergeCell ref="G86:I86"/>
    <mergeCell ref="A87:B87"/>
    <mergeCell ref="C87:D87"/>
    <mergeCell ref="E87:F87"/>
    <mergeCell ref="G87:I87"/>
    <mergeCell ref="A88:B88"/>
    <mergeCell ref="C88:D88"/>
    <mergeCell ref="E88:F88"/>
    <mergeCell ref="G88:I88"/>
  </mergeCells>
  <conditionalFormatting sqref="I10:J26">
    <cfRule type="cellIs" dxfId="1" priority="1" stopIfTrue="1" operator="equal">
      <formula>"S"</formula>
    </cfRule>
    <cfRule type="cellIs" dxfId="0" priority="2" stopIfTrue="1" operator="equal">
      <formula>"NS"</formula>
    </cfRule>
  </conditionalFormatting>
  <printOptions horizontalCentered="1"/>
  <pageMargins left="0.39370078740157483" right="0.39370078740157483" top="0.39370078740157483" bottom="0.59055118110236227" header="0" footer="0.19685039370078741"/>
  <pageSetup paperSize="9" scale="86" fitToHeight="4" orientation="portrait" horizontalDpi="300" verticalDpi="300" r:id="rId1"/>
  <rowBreaks count="1" manualBreakCount="1">
    <brk id="43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INFORME IMPRIMIR (2)</vt:lpstr>
      <vt:lpstr>'INFORME IMPRIMIR (2)'!Área_de_impresión</vt:lpstr>
    </vt:vector>
  </TitlesOfParts>
  <Manager/>
  <Company>Consultorio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 Holway</dc:creator>
  <cp:keywords/>
  <dc:description/>
  <cp:lastModifiedBy>Manuel Tissera</cp:lastModifiedBy>
  <cp:revision/>
  <dcterms:created xsi:type="dcterms:W3CDTF">1999-08-23T20:00:20Z</dcterms:created>
  <dcterms:modified xsi:type="dcterms:W3CDTF">2025-11-27T21:39:30Z</dcterms:modified>
  <cp:category/>
  <cp:contentStatus/>
</cp:coreProperties>
</file>